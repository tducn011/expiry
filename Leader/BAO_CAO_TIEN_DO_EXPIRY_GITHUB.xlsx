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amp; Tổng quan" sheetId="1" state="visible" r:id="rId1"/>
    <sheet name="📌 Toàn bộ Issues (93)" sheetId="2" state="visible" r:id="rId2"/>
    <sheet name="🔀 Merged PRs develop (80)" sheetId="3" state="visible" r:id="rId3"/>
    <sheet name="🚀 Tính năng &amp; Deliverables" sheetId="4" state="visible" r:id="rId4"/>
    <sheet name="⚠️ Tồn đọng &amp; Đề xuất"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color rgb="001F4E79"/>
      <sz val="16"/>
    </font>
    <font>
      <name val="Calibri"/>
      <i val="1"/>
      <color rgb="00595959"/>
      <sz val="11"/>
    </font>
    <font>
      <name val="Calibri"/>
      <b val="1"/>
      <color rgb="001F4E79"/>
      <sz val="18"/>
    </font>
    <font>
      <name val="Calibri"/>
      <b val="1"/>
      <color rgb="00595959"/>
      <sz val="9"/>
    </font>
    <font>
      <name val="Calibri"/>
      <b val="1"/>
      <color rgb="001F4E79"/>
      <sz val="12"/>
    </font>
    <font>
      <name val="Calibri"/>
      <b val="1"/>
      <color rgb="00FFFFFF"/>
      <sz val="11"/>
    </font>
    <font>
      <name val="Calibri"/>
      <sz val="10"/>
    </font>
    <font>
      <name val="Calibri"/>
      <b val="1"/>
      <sz val="10"/>
    </font>
    <font>
      <name val="Calibri"/>
      <b val="1"/>
      <color rgb="00C00000"/>
      <sz val="10"/>
    </font>
    <font>
      <name val="Calibri"/>
      <b val="1"/>
      <sz val="11"/>
    </font>
  </fonts>
  <fills count="14">
    <fill>
      <patternFill/>
    </fill>
    <fill>
      <patternFill patternType="gray125"/>
    </fill>
    <fill>
      <patternFill patternType="solid">
        <fgColor rgb="00EDF2F8"/>
        <bgColor rgb="00EDF2F8"/>
      </patternFill>
    </fill>
    <fill>
      <patternFill patternType="solid">
        <fgColor rgb="001F4E79"/>
        <bgColor rgb="001F4E79"/>
      </patternFill>
    </fill>
    <fill>
      <patternFill patternType="solid">
        <fgColor rgb="00E2EFDA"/>
        <bgColor rgb="00E2EFDA"/>
      </patternFill>
    </fill>
    <fill>
      <patternFill patternType="solid">
        <fgColor rgb="00FFF2CC"/>
        <bgColor rgb="00FFF2CC"/>
      </patternFill>
    </fill>
    <fill>
      <patternFill patternType="solid">
        <fgColor rgb="002F5597"/>
        <bgColor rgb="002F5597"/>
      </patternFill>
    </fill>
    <fill>
      <patternFill patternType="solid">
        <fgColor rgb="00D9E1F2"/>
        <bgColor rgb="00D9E1F2"/>
      </patternFill>
    </fill>
    <fill>
      <patternFill patternType="solid">
        <fgColor rgb="00F9FAFB"/>
        <bgColor rgb="00F9FAFB"/>
      </patternFill>
    </fill>
    <fill>
      <patternFill patternType="solid">
        <fgColor rgb="00134E5E"/>
        <bgColor rgb="00134E5E"/>
      </patternFill>
    </fill>
    <fill>
      <patternFill patternType="solid">
        <fgColor rgb="00B25E00"/>
        <bgColor rgb="00B25E00"/>
      </patternFill>
    </fill>
    <fill>
      <patternFill patternType="solid">
        <fgColor rgb="00FCE4D6"/>
        <bgColor rgb="00FCE4D6"/>
      </patternFill>
    </fill>
    <fill>
      <patternFill patternType="solid">
        <fgColor rgb="00FFFFFF"/>
        <bgColor rgb="00FFFFFF"/>
      </patternFill>
    </fill>
    <fill>
      <patternFill patternType="solid">
        <fgColor rgb="00F2F4F7"/>
        <bgColor rgb="00F2F4F7"/>
      </patternFill>
    </fill>
  </fills>
  <borders count="7">
    <border>
      <left/>
      <right/>
      <top/>
      <bottom/>
      <diagonal/>
    </border>
    <border>
      <left style="thin">
        <color rgb="00D9D9D9"/>
      </left>
      <right style="thin">
        <color rgb="00D9D9D9"/>
      </right>
      <top style="thin">
        <color rgb="00D9D9D9"/>
      </top>
      <bottom style="thin">
        <color rgb="00D9D9D9"/>
      </bottom>
    </border>
    <border>
      <top style="thin">
        <color rgb="001F4E79"/>
      </top>
      <bottom style="double">
        <color rgb="001F4E79"/>
      </bottom>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
      <left/>
      <right/>
      <top style="thin">
        <color rgb="00D9D9D9"/>
      </top>
      <bottom style="thin">
        <color rgb="00D9D9D9"/>
      </bottom>
      <diagonal/>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2" borderId="1" pivotButton="0" quotePrefix="0" xfId="0"/>
    <xf numFmtId="0" fontId="4" fillId="2" borderId="1" applyAlignment="1" pivotButton="0" quotePrefix="0" xfId="0">
      <alignment horizontal="center" vertical="center"/>
    </xf>
    <xf numFmtId="0" fontId="5" fillId="0" borderId="0" pivotButton="0" quotePrefix="0" xfId="0"/>
    <xf numFmtId="0" fontId="6" fillId="3"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0" borderId="1" applyAlignment="1" pivotButton="0" quotePrefix="0" xfId="0">
      <alignment horizontal="right" vertical="center"/>
    </xf>
    <xf numFmtId="164" fontId="7" fillId="0" borderId="1" applyAlignment="1" pivotButton="0" quotePrefix="0" xfId="0">
      <alignment horizontal="right" vertical="center"/>
    </xf>
    <xf numFmtId="0" fontId="8" fillId="4" borderId="1" applyAlignment="1" pivotButton="0" quotePrefix="0" xfId="0">
      <alignment horizontal="center" vertical="center"/>
    </xf>
    <xf numFmtId="0" fontId="8" fillId="5" borderId="1" applyAlignment="1" pivotButton="0" quotePrefix="0" xfId="0">
      <alignment horizontal="center" vertical="center"/>
    </xf>
    <xf numFmtId="0" fontId="6" fillId="6" borderId="1" applyAlignment="1" pivotButton="0" quotePrefix="0" xfId="0">
      <alignment horizontal="center" vertical="center" wrapText="1"/>
    </xf>
    <xf numFmtId="0" fontId="8" fillId="7" borderId="2" applyAlignment="1" pivotButton="0" quotePrefix="0" xfId="0">
      <alignment horizontal="center" vertical="center"/>
    </xf>
    <xf numFmtId="0" fontId="8" fillId="7" borderId="2" applyAlignment="1" pivotButton="0" quotePrefix="0" xfId="0">
      <alignment horizontal="right" vertical="center"/>
    </xf>
    <xf numFmtId="164" fontId="8" fillId="7" borderId="2" applyAlignment="1" pivotButton="0" quotePrefix="0" xfId="0">
      <alignment horizontal="right" vertical="center"/>
    </xf>
    <xf numFmtId="0" fontId="8" fillId="2" borderId="1" applyAlignment="1" pivotButton="0" quotePrefix="0" xfId="0">
      <alignment horizontal="left" vertical="center" wrapText="1"/>
    </xf>
    <xf numFmtId="0" fontId="0" fillId="0" borderId="1" pivotButton="0" quotePrefix="0" xfId="0"/>
    <xf numFmtId="0" fontId="7" fillId="0" borderId="1" applyAlignment="1" pivotButton="0" quotePrefix="0" xfId="0">
      <alignment horizontal="center" vertical="center"/>
    </xf>
    <xf numFmtId="0" fontId="7" fillId="8" borderId="1" applyAlignment="1" pivotButton="0" quotePrefix="0" xfId="0">
      <alignment horizontal="center" vertical="center"/>
    </xf>
    <xf numFmtId="0" fontId="7" fillId="8" borderId="1" applyAlignment="1" pivotButton="0" quotePrefix="0" xfId="0">
      <alignment horizontal="left" vertical="center" wrapText="1"/>
    </xf>
    <xf numFmtId="164" fontId="7" fillId="8" borderId="1" applyAlignment="1" pivotButton="0" quotePrefix="0" xfId="0">
      <alignment horizontal="right" vertical="center"/>
    </xf>
    <xf numFmtId="0" fontId="8" fillId="7" borderId="2" pivotButton="0" quotePrefix="0" xfId="0"/>
    <xf numFmtId="0" fontId="0" fillId="7" borderId="2" pivotButton="0" quotePrefix="0" xfId="0"/>
    <xf numFmtId="0" fontId="6"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9" fillId="11" borderId="1" applyAlignment="1" pivotButton="0" quotePrefix="0" xfId="0">
      <alignment horizontal="center" vertical="center"/>
    </xf>
    <xf numFmtId="0" fontId="8" fillId="0" borderId="1" applyAlignment="1" pivotButton="0" quotePrefix="0" xfId="0">
      <alignment horizontal="center" vertical="center"/>
    </xf>
    <xf numFmtId="0" fontId="0" fillId="0" borderId="5" pivotButton="0" quotePrefix="0" xfId="0"/>
    <xf numFmtId="0" fontId="0" fillId="0" borderId="6" pivotButton="0" quotePrefix="0" xfId="0"/>
    <xf numFmtId="0" fontId="10" fillId="12" borderId="1" applyAlignment="1" pivotButton="0" quotePrefix="0" xfId="0">
      <alignment horizontal="left" vertical="center"/>
    </xf>
    <xf numFmtId="0" fontId="7" fillId="12" borderId="1" applyAlignment="1" pivotButton="0" quotePrefix="0" xfId="0">
      <alignment horizontal="left" vertical="center" wrapText="1"/>
    </xf>
    <xf numFmtId="0" fontId="8" fillId="12" borderId="1" applyAlignment="1" pivotButton="0" quotePrefix="0" xfId="0">
      <alignment horizontal="center" vertical="center"/>
    </xf>
    <xf numFmtId="0" fontId="7" fillId="12" borderId="1" applyAlignment="1" pivotButton="0" quotePrefix="0" xfId="0">
      <alignment horizontal="left" vertical="center"/>
    </xf>
    <xf numFmtId="0" fontId="7" fillId="12" borderId="1" applyAlignment="1" pivotButton="0" quotePrefix="0" xfId="0">
      <alignment horizontal="center" vertical="center"/>
    </xf>
    <xf numFmtId="164" fontId="7" fillId="12" borderId="1" applyAlignment="1" pivotButton="0" quotePrefix="0" xfId="0">
      <alignment horizontal="right" vertical="center"/>
    </xf>
    <xf numFmtId="0" fontId="8" fillId="13" borderId="1" pivotButton="0" quotePrefix="0" xfId="0"/>
    <xf numFmtId="0" fontId="0" fillId="13" borderId="1" pivotButton="0" quotePrefix="0" xfId="0"/>
    <xf numFmtId="164" fontId="8" fillId="1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showGridLines="1" workbookViewId="0">
      <selection activeCell="A1" sqref="A1"/>
    </sheetView>
  </sheetViews>
  <sheetFormatPr baseColWidth="8" defaultRowHeight="15"/>
  <cols>
    <col width="4" customWidth="1" min="1" max="1"/>
    <col width="26" customWidth="1" min="2" max="2"/>
    <col width="28" customWidth="1" min="3" max="3"/>
    <col width="35" customWidth="1" min="4" max="4"/>
    <col width="16" customWidth="1" min="5" max="5"/>
    <col width="16" customWidth="1" min="6" max="6"/>
    <col width="22" customWidth="1" min="7" max="7"/>
    <col width="24" customWidth="1" min="8" max="8"/>
    <col width="10" customWidth="1" min="9" max="9"/>
    <col width="10" customWidth="1" min="10" max="10"/>
    <col width="10" customWidth="1" min="11" max="11"/>
  </cols>
  <sheetData>
    <row r="1">
      <c r="A1" s="1" t="inlineStr">
        <is>
          <t>BÁO CÁO TỔNG QUAN TIẾN ĐỘ DỰ ÁN EXPIRY</t>
        </is>
      </c>
    </row>
    <row r="2">
      <c r="A2" s="2" t="inlineStr">
        <is>
          <t>Smart Expiry Date &amp; Food Inventory Management System | Nguồn dữ liệu: GitHub Repo tducn011/expiry | Cập nhật: 31/10/2026 (sau PR #194 &amp; đồng bộ toàn diện GitHub)</t>
        </is>
      </c>
    </row>
    <row r="4" ht="24" customHeight="1">
      <c r="B4" s="3" t="inlineStr">
        <is>
          <t>93 / 93</t>
        </is>
      </c>
      <c r="C4" s="29" t="n"/>
      <c r="D4" s="3" t="inlineStr">
        <is>
          <t>80 PRs</t>
        </is>
      </c>
      <c r="E4" s="29" t="n"/>
      <c r="F4" s="3" t="inlineStr">
        <is>
          <t>142</t>
        </is>
      </c>
      <c r="G4" s="29" t="n"/>
      <c r="H4" s="3" t="inlineStr">
        <is>
          <t>122 / 122</t>
        </is>
      </c>
      <c r="I4" s="29" t="n"/>
      <c r="J4" s="3" t="inlineStr">
        <is>
          <t>100.0%</t>
        </is>
      </c>
      <c r="K4" s="29" t="n"/>
    </row>
    <row r="5" ht="18" customHeight="1">
      <c r="B5" s="5" t="inlineStr">
        <is>
          <t>TỔNG SỐ ISSUES (100% ĐÓNG)</t>
        </is>
      </c>
      <c r="C5" s="29" t="n"/>
      <c r="D5" s="5" t="inlineStr">
        <is>
          <t>MERGED PRS DEVELOP (100%)</t>
        </is>
      </c>
      <c r="E5" s="29" t="n"/>
      <c r="F5" s="5" t="inlineStr">
        <is>
          <t>COMMITS TRÊN DEVELOP</t>
        </is>
      </c>
      <c r="G5" s="29" t="n"/>
      <c r="H5" s="5" t="inlineStr">
        <is>
          <t>AUTOMATED TESTS PASS (100%)</t>
        </is>
      </c>
      <c r="I5" s="29" t="n"/>
      <c r="J5" s="5" t="inlineStr">
        <is>
          <t>TIẾN ĐỘ CHUNG DỰ ÁN</t>
        </is>
      </c>
      <c r="K5" s="29" t="n"/>
    </row>
    <row r="7">
      <c r="B7" s="6" t="inlineStr">
        <is>
          <t>1. BẢNG KIỂM TRA TIẾN ĐỘ &amp; PHẦN TRĂM HOÀN THÀNH THEO TỪNG TAB</t>
        </is>
      </c>
    </row>
    <row r="8" ht="24" customHeight="1">
      <c r="B8" s="7" t="inlineStr">
        <is>
          <t>Tên Tab / Bảng Dữ Liệu</t>
        </is>
      </c>
      <c r="C8" s="7" t="inlineStr">
        <is>
          <t>Mô Tả Nội Dung</t>
        </is>
      </c>
      <c r="D8" s="7" t="inlineStr">
        <is>
          <t>Tổng Số Mục</t>
        </is>
      </c>
      <c r="E8" s="7" t="inlineStr">
        <is>
          <t>Đã Hoàn Thành</t>
        </is>
      </c>
      <c r="F8" s="7" t="inlineStr">
        <is>
          <t>Còn Tồn Đọng</t>
        </is>
      </c>
      <c r="G8" s="7" t="inlineStr">
        <is>
          <t>Tiến Độ Hoàn Thành (%)</t>
        </is>
      </c>
      <c r="H8" s="7" t="inlineStr">
        <is>
          <t>Đánh Giá</t>
        </is>
      </c>
    </row>
    <row r="9" ht="20" customHeight="1">
      <c r="B9" s="8" t="inlineStr">
        <is>
          <t>📌 Toàn bộ Issues (93)</t>
        </is>
      </c>
      <c r="C9" s="8" t="inlineStr">
        <is>
          <t>Toàn bộ 93 issues từ GitHub (15 EPICs + 78 Tasks chi tiết &amp; Bugs)</t>
        </is>
      </c>
      <c r="D9" s="9">
        <f>'📌 Toàn bộ Issues (93)'!B98</f>
        <v/>
      </c>
      <c r="E9" s="9">
        <f>'📌 Toàn bộ Issues (93)'!I98</f>
        <v/>
      </c>
      <c r="F9" s="9" t="n">
        <v>0</v>
      </c>
      <c r="G9" s="10">
        <f>'📌 Toàn bộ Issues (93)'!J98</f>
        <v/>
      </c>
      <c r="H9" s="11" t="inlineStr">
        <is>
          <t>Hoàn thành 100%</t>
        </is>
      </c>
    </row>
    <row r="10" ht="20" customHeight="1">
      <c r="B10" s="8" t="inlineStr">
        <is>
          <t>🔀 Merged PRs develop (80)</t>
        </is>
      </c>
      <c r="C10" s="8" t="inlineStr">
        <is>
          <t>Toàn bộ 80 Pull Requests đã merge vào nhánh develop</t>
        </is>
      </c>
      <c r="D10" s="9">
        <f>'🔀 Merged PRs develop (80)'!B85</f>
        <v/>
      </c>
      <c r="E10" s="9">
        <f>'🔀 Merged PRs develop (80)'!I85</f>
        <v/>
      </c>
      <c r="F10" s="9" t="n">
        <v>0</v>
      </c>
      <c r="G10" s="10">
        <f>'🔀 Merged PRs develop (80)'!J85</f>
        <v/>
      </c>
      <c r="H10" s="11" t="inlineStr">
        <is>
          <t>Hoàn thành 100%</t>
        </is>
      </c>
    </row>
    <row r="11" ht="20" customHeight="1">
      <c r="B11" s="8" t="inlineStr">
        <is>
          <t>🚀 Tính năng &amp; Deliverables</t>
        </is>
      </c>
      <c r="C11" s="8" t="inlineStr">
        <is>
          <t>Bảng kiểm 30 tính năng sản phẩm cụ thể (FE, BE, AI OCR, DB, CI/CD, Design System, Storage &amp; Insight)</t>
        </is>
      </c>
      <c r="D11" s="9">
        <f>'🚀 Tính năng &amp; Deliverables'!B35</f>
        <v/>
      </c>
      <c r="E11" s="9">
        <f>'🚀 Tính năng &amp; Deliverables'!H35</f>
        <v/>
      </c>
      <c r="F11" s="9" t="n">
        <v>0</v>
      </c>
      <c r="G11" s="10">
        <f>'🚀 Tính năng &amp; Deliverables'!I35</f>
        <v/>
      </c>
      <c r="H11" s="11" t="inlineStr">
        <is>
          <t>Đã bàn giao đầy đủ</t>
        </is>
      </c>
    </row>
    <row r="12" ht="20" customHeight="1">
      <c r="B12" s="8" t="inlineStr">
        <is>
          <t>⚠️ Tồn đọng &amp; Đề xuất</t>
        </is>
      </c>
      <c r="C12" s="8" t="inlineStr">
        <is>
          <t>Danh mục 8 hạng mục giới hạn thực tế, rủi ro &amp; đề xuất phát triển tiếp</t>
        </is>
      </c>
      <c r="D12" s="9">
        <f>'⚠️ Tồn đọng &amp; Đề xuất'!B13</f>
        <v/>
      </c>
      <c r="E12" s="9">
        <f>'⚠️ Tồn đọng &amp; Đề xuất'!G13</f>
        <v/>
      </c>
      <c r="F12" s="9">
        <f>'⚠️ Tồn đọng &amp; Đề xuất'!H13</f>
        <v/>
      </c>
      <c r="G12" s="10">
        <f>'⚠️ Tồn đọng &amp; Đề xuất'!I13</f>
        <v/>
      </c>
      <c r="H12" s="12" t="inlineStr">
        <is>
          <t>Kế hoạch nâng cấp tiếp theo</t>
        </is>
      </c>
    </row>
    <row r="14">
      <c r="B14" s="6" t="inlineStr">
        <is>
          <t>2. PHÂN BỔ ĐÓNG GÓP THEO THÀNH VIÊN TRÊN NHÁNH DEVELOP</t>
        </is>
      </c>
    </row>
    <row r="15" ht="24" customHeight="1">
      <c r="B15" s="13" t="inlineStr">
        <is>
          <t>Thành Viên</t>
        </is>
      </c>
      <c r="C15" s="13" t="inlineStr">
        <is>
          <t>Tài Khoản GitHub</t>
        </is>
      </c>
      <c r="D15" s="13" t="inlineStr">
        <is>
          <t>Vai Trò &amp; Trọng Trách</t>
        </is>
      </c>
      <c r="E15" s="13" t="inlineStr">
        <is>
          <t>Số PRs Merged</t>
        </is>
      </c>
      <c r="F15" s="13" t="inlineStr">
        <is>
          <t>Số Commits</t>
        </is>
      </c>
      <c r="G15" s="13" t="inlineStr">
        <is>
          <t>Tỷ Lệ Đóng Góp (%)</t>
        </is>
      </c>
      <c r="H15" s="13" t="inlineStr">
        <is>
          <t>Trạng Thái</t>
        </is>
      </c>
    </row>
    <row r="16" ht="28" customHeight="1">
      <c r="B16" s="8" t="inlineStr">
        <is>
          <t>Nguyễn Đức (Team Leader)</t>
        </is>
      </c>
      <c r="C16" s="8" t="inlineStr">
        <is>
          <t>tducn110 (tducn)</t>
        </is>
      </c>
      <c r="D16" s="8" t="inlineStr">
        <is>
          <t>Kiến trúc Monorepo, Setup CI/CD, MySQL Migrations 001-005, Vercel Reverse Proxy, AI Scan OCR, Polymorphic ApiClient, Signed Release main, Modern Design System, Storage Hub &amp; Insight Analytics, Session Coordinator (PR #161, #172, #174, #177, #178, #180)</t>
        </is>
      </c>
      <c r="E16" s="9" t="n">
        <v>25</v>
      </c>
      <c r="F16" s="9" t="n">
        <v>60</v>
      </c>
      <c r="G16" s="10">
        <f>E16/E19</f>
        <v/>
      </c>
      <c r="H16" s="11" t="inlineStr">
        <is>
          <t>Hoàn thành xuất sắc</t>
        </is>
      </c>
    </row>
    <row r="17" ht="28" customHeight="1">
      <c r="B17" s="8" t="inlineStr">
        <is>
          <t>Huy Hoàng</t>
        </is>
      </c>
      <c r="C17" s="8" t="inlineStr">
        <is>
          <t>UncleYelloow</t>
        </is>
      </c>
      <c r="D17" s="8" t="inlineStr">
        <is>
          <t>Core Domain Kho (Stock Movements, Ledger, Attention Engine, Food Detail, Trash Lifecycle), Manual Capture Form, Quét Barcode GS1, khắc phục triệt để toàn bộ 7 lỗi backend integration (BUG-01 -&gt; BUG-07, PR #187, #188)</t>
        </is>
      </c>
      <c r="E17" s="9" t="n">
        <v>17</v>
      </c>
      <c r="F17" s="9" t="n">
        <v>41</v>
      </c>
      <c r="G17" s="10">
        <f>E17/E19</f>
        <v/>
      </c>
      <c r="H17" s="11" t="inlineStr">
        <is>
          <t>Hoàn thành xuất sắc</t>
        </is>
      </c>
    </row>
    <row r="18" ht="28" customHeight="1">
      <c r="B18" s="8" t="inlineStr">
        <is>
          <t>Tuấn Kiệt</t>
        </is>
      </c>
      <c r="C18" s="8" t="inlineStr">
        <is>
          <t>kiet00394-collab</t>
        </is>
      </c>
      <c r="D18" s="8" t="inlineStr">
        <is>
          <t>Chiến dịch Ponytail (Cắt giảm 1,100+ dòng code), Tối ưu hiệu năng N+1 &amp; Waterfall, Debounce 300ms, Migration 005 CSDL, SQL pagination pushdown, Vite 8 upgrade, Deep Linking browser history (PR #189 -&gt; #194)</t>
        </is>
      </c>
      <c r="E18" s="9" t="n">
        <v>38</v>
      </c>
      <c r="F18" s="9" t="n">
        <v>41</v>
      </c>
      <c r="G18" s="10">
        <f>E18/E19</f>
        <v/>
      </c>
      <c r="H18" s="11" t="inlineStr">
        <is>
          <t>Hoàn thành xuất sắc</t>
        </is>
      </c>
    </row>
    <row r="19">
      <c r="B19" s="14" t="inlineStr">
        <is>
          <t>TỔNG CỘNG</t>
        </is>
      </c>
      <c r="C19" s="14" t="inlineStr">
        <is>
          <t>3 Thành viên</t>
        </is>
      </c>
      <c r="D19" s="14" t="inlineStr">
        <is>
          <t>Toàn bộ nhóm dự án</t>
        </is>
      </c>
      <c r="E19" s="15">
        <f>SUM(E16:E18)</f>
        <v/>
      </c>
      <c r="F19" s="15">
        <f>SUM(F16:F18)</f>
        <v/>
      </c>
      <c r="G19" s="16">
        <f>SUM(G16:G18)</f>
        <v/>
      </c>
      <c r="H19" s="14" t="inlineStr">
        <is>
          <t>100.0%</t>
        </is>
      </c>
    </row>
    <row r="21">
      <c r="B21" s="6" t="inlineStr">
        <is>
          <t>3. TÓM TẮT CÁC KẾT QUẢ ĐỘT PHÁ ĐÃ ĐẠT ĐƯỢC</t>
        </is>
      </c>
    </row>
    <row r="22" ht="24" customHeight="1">
      <c r="B22" s="17" t="inlineStr">
        <is>
          <t>1. Kiến trúc Monorepo &amp; Khả năng Chịu tải Cao</t>
        </is>
      </c>
      <c r="C22" s="8" t="inlineStr">
        <is>
          <t>Phân chia rõ ràng giữa apps/web (React 19 + TypeScript + Vite) và apps/api (Node.js ESM + Express) cùng microservice AI OCR Python độc lập. Thiết kế chịu tải với Connection Pooling, Transaction ACID và Optimistic Version Locking.</t>
        </is>
      </c>
      <c r="D22" s="30" t="n"/>
      <c r="E22" s="30" t="n"/>
      <c r="F22" s="30" t="n"/>
      <c r="G22" s="30" t="n"/>
      <c r="H22" s="29" t="n"/>
    </row>
    <row r="23" ht="24" customHeight="1">
      <c r="B23" s="17" t="inlineStr">
        <is>
          <t>2. Tinh giản Mã nguồn Ponytail (Xóa bỏ Over-engineering)</t>
        </is>
      </c>
      <c r="C23" s="8" t="inlineStr">
        <is>
          <t>Cắt giảm hơn 1,100 dòng code phức tạp không cần thiết: Thay thế custom DatePicker 708 dòng bằng native HTML5 date input, thay thế Portal Select 365 dòng bằng native select, xóa ScrollbarAutohide, dùng Node.js native env loader.</t>
        </is>
      </c>
      <c r="D23" s="30" t="n"/>
      <c r="E23" s="30" t="n"/>
      <c r="F23" s="30" t="n"/>
      <c r="G23" s="30" t="n"/>
      <c r="H23" s="29" t="n"/>
    </row>
    <row r="24" ht="24" customHeight="1">
      <c r="B24" s="17" t="inlineStr">
        <is>
          <t>3. Tối ưu Hiệu năng Toàn diện (N+1 Query &amp; Frontend Waterfall)</t>
        </is>
      </c>
      <c r="C24" s="8" t="inlineStr">
        <is>
          <t>Triệt tiêu hiện tượng tải thác nước ở frontend, thêm Debounce 300ms + AbortController cho tìm kiếm, đẩy phân trang LIMIT/OFFSET xuống database, bypass CTE đếm, throttle session write để tránh khóa hàng (Row Lock Contention).</t>
        </is>
      </c>
      <c r="D24" s="30" t="n"/>
      <c r="E24" s="30" t="n"/>
      <c r="F24" s="30" t="n"/>
      <c r="G24" s="30" t="n"/>
      <c r="H24" s="29" t="n"/>
    </row>
    <row r="25" ht="24" customHeight="1">
      <c r="B25" s="17" t="inlineStr">
        <is>
          <t>4. Bảo mật Cấp Doanh nghiệp (Enterprise-Grade Hardening)</t>
        </is>
      </c>
      <c r="C25" s="8" t="inlineStr">
        <is>
          <t>Bảo vệ chống tấn công DoS băm mật khẩu Scrypt bằng hàng đợi Bounded Concurrency Queue, chống IP Spoofing qua reverse proxy, xử lý dung sai lệch đồng hồ (Clock Skew), vá lỗ hổng Command Injection trong webhook.</t>
        </is>
      </c>
      <c r="D25" s="30" t="n"/>
      <c r="E25" s="30" t="n"/>
      <c r="F25" s="30" t="n"/>
      <c r="G25" s="30" t="n"/>
      <c r="H25" s="29" t="n"/>
    </row>
    <row r="26" ht="24" customHeight="1">
      <c r="B26" s="17" t="inlineStr">
        <is>
          <t>5. Hiện đại hóa Giao diện &amp; Trải nghiệm Đa thiết bị (Responsive Design System)</t>
        </is>
      </c>
      <c r="C26" s="8" t="inlineStr">
        <is>
          <t>Đồng bộ toàn bộ giao diện theo chuẩn Design System mới với Tailwind v4; giải quyết triệt để lỗi co cụm modal/card trên thiết bị di động (mobile-first); hỗ trợ thanh điều hướng 72px desktop và bottom bar 56px cho mobile với vùng chạm an toàn (safe-area insets); bổ sung 59 test cases kiểm thử giao diện tự động.</t>
        </is>
      </c>
      <c r="D26" s="30" t="n"/>
      <c r="E26" s="30" t="n"/>
      <c r="F26" s="30" t="n"/>
      <c r="G26" s="30" t="n"/>
      <c r="H26" s="29" t="n"/>
    </row>
    <row r="27">
      <c r="B27" s="31" t="inlineStr">
        <is>
          <t>6. Tích Hợp AI Scan OCR &amp; Quét Mã Vạch GS1 Đa Nguồn</t>
        </is>
      </c>
      <c r="C27" s="32" t="inlineStr">
        <is>
          <t>Kết nối camera scanner và file upload trực tiếp tới microservice Python YOLO+CTC OCR; tích hợp ZXing quét barcode GS1 và tự động đối soát sản phẩm.</t>
        </is>
      </c>
    </row>
    <row r="28">
      <c r="B28" s="31" t="inlineStr">
        <is>
          <t>7. Kho Lưu Trữ Storage Hub &amp; Phân Tích Thông Minh Insight</t>
        </is>
      </c>
      <c r="C28" s="32" t="inlineStr">
        <is>
          <t>Bổ sung màn hình Storage Hub phân chia trực quan 4 khu vực lưu trữ; màn hình Insight phân tích thống kê lãng phí, tỉ lệ tiêu thụ và dự báo trực quan bằng biểu đồ.</t>
        </is>
      </c>
    </row>
    <row r="29">
      <c r="B29" s="31" t="inlineStr">
        <is>
          <t>8. Kết Nối Đồng Bộ Toàn Diện Real API &amp; Session Coordinator</t>
        </is>
      </c>
      <c r="C29" s="32" t="inlineStr">
        <is>
          <t>Xử lý dứt điểm 7 lỗi kết nối live (BUG-01 -&gt; BUG-07), đồng bộ Auth, thêm/sửa món ăn, xuất/nhập kho, phục hồi thùng rác vào CSDL MySQL với Session Coordinator và deep linking URL.</t>
        </is>
      </c>
    </row>
  </sheetData>
  <mergeCells count="15">
    <mergeCell ref="F4:G4"/>
    <mergeCell ref="C25:H25"/>
    <mergeCell ref="J4:K4"/>
    <mergeCell ref="C24:H24"/>
    <mergeCell ref="J5:K5"/>
    <mergeCell ref="B5:C5"/>
    <mergeCell ref="C22:H22"/>
    <mergeCell ref="F5:G5"/>
    <mergeCell ref="D5:E5"/>
    <mergeCell ref="C23:H23"/>
    <mergeCell ref="H5:I5"/>
    <mergeCell ref="D4:E4"/>
    <mergeCell ref="H4:I4"/>
    <mergeCell ref="C26:H26"/>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8"/>
  <sheetViews>
    <sheetView showGridLines="1" workbookViewId="0">
      <selection activeCell="A1" sqref="A1"/>
    </sheetView>
  </sheetViews>
  <sheetFormatPr baseColWidth="8" defaultRowHeight="15"/>
  <cols>
    <col width="6" customWidth="1" min="1" max="1"/>
    <col width="12" customWidth="1" min="2" max="2"/>
    <col width="24" customWidth="1" min="3" max="3"/>
    <col width="38" customWidth="1" min="4" max="4"/>
    <col width="18" customWidth="1" min="5" max="5"/>
    <col width="18" customWidth="1" min="6" max="6"/>
    <col width="24" customWidth="1" min="7" max="7"/>
    <col width="60" customWidth="1" min="8" max="8"/>
    <col width="14" customWidth="1" min="9" max="9"/>
    <col width="14" customWidth="1" min="10" max="10"/>
  </cols>
  <sheetData>
    <row r="1">
      <c r="A1" s="1" t="inlineStr">
        <is>
          <t>DANH SÁCH CHI TIẾT TOÀN BỘ 93 ISSUES ĐÃ GIẢI QUYẾT TRÊN GITHUB</t>
        </is>
      </c>
    </row>
    <row r="2">
      <c r="A2" s="2" t="inlineStr">
        <is>
          <t>Tất cả các issues đều đã được hoàn thành 100% (State: CLOSED) | Đồng bộ toàn diện từ GitHub Issues ngày 31/10/2026</t>
        </is>
      </c>
    </row>
    <row r="4" ht="26" customHeight="1">
      <c r="A4" s="7" t="inlineStr">
        <is>
          <t>STT</t>
        </is>
      </c>
      <c r="B4" s="7" t="inlineStr">
        <is>
          <t>Mã Issue</t>
        </is>
      </c>
      <c r="C4" s="7" t="inlineStr">
        <is>
          <t>Phân Loại</t>
        </is>
      </c>
      <c r="D4" s="7" t="inlineStr">
        <is>
          <t>Tiêu Đề Issue</t>
        </is>
      </c>
      <c r="E4" s="7" t="inlineStr">
        <is>
          <t>Phân Hệ</t>
        </is>
      </c>
      <c r="F4" s="7" t="inlineStr">
        <is>
          <t>Người Phụ Trách</t>
        </is>
      </c>
      <c r="G4" s="7" t="inlineStr">
        <is>
          <t>Nhãn (Labels)</t>
        </is>
      </c>
      <c r="H4" s="7" t="inlineStr">
        <is>
          <t>Chi Tiết Những Gì Đã Làm &amp; Giải Pháp Kỹ Thuật</t>
        </is>
      </c>
      <c r="I4" s="7" t="inlineStr">
        <is>
          <t>Trạng Thái</t>
        </is>
      </c>
      <c r="J4" s="7" t="inlineStr">
        <is>
          <t>Tiến Độ (%)</t>
        </is>
      </c>
    </row>
    <row r="5" ht="28" customHeight="1">
      <c r="A5" s="19" t="n">
        <v>1</v>
      </c>
      <c r="B5" s="19" t="inlineStr">
        <is>
          <t>#19</t>
        </is>
      </c>
      <c r="C5" s="8" t="inlineStr">
        <is>
          <t>Backend API &amp; CSDL</t>
        </is>
      </c>
      <c r="D5" s="8" t="inlineStr">
        <is>
          <t>[BE-01] Fix Express Trust Proxy &amp; IP Rate Limiting under Reverse Proxy</t>
        </is>
      </c>
      <c r="E5" s="19" t="inlineStr">
        <is>
          <t>Backend API</t>
        </is>
      </c>
      <c r="F5" s="19" t="inlineStr">
        <is>
          <t>UncleYelloow</t>
        </is>
      </c>
      <c r="G5" s="8" t="inlineStr">
        <is>
          <t>bug, backend</t>
        </is>
      </c>
      <c r="H5" s="8" t="inlineStr">
        <is>
          <t>Cấu hình app.set('trust proxy', 1) trong Express; đọc chính xác client IP từ chuỗi X-Forwarded-For; ngăn chặn tình trạng toàn bộ client dùng chung một hạn ngạch rate limit khi chạy qua Vercel Proxy/Cloudflare Tunnel.</t>
        </is>
      </c>
      <c r="I5" s="11" t="inlineStr">
        <is>
          <t>Hoàn thành</t>
        </is>
      </c>
      <c r="J5" s="10" t="n">
        <v>1</v>
      </c>
    </row>
    <row r="6" ht="28" customHeight="1">
      <c r="A6" s="20" t="n">
        <v>2</v>
      </c>
      <c r="B6" s="20" t="inlineStr">
        <is>
          <t>#20</t>
        </is>
      </c>
      <c r="C6" s="21" t="inlineStr">
        <is>
          <t>Backend API &amp; CSDL</t>
        </is>
      </c>
      <c r="D6" s="21" t="inlineStr">
        <is>
          <t>[BE-02] Align Duplicate Registration Error Code with Frontend (EMAIL_ALREADY_REGISTERED)</t>
        </is>
      </c>
      <c r="E6" s="20" t="inlineStr">
        <is>
          <t>Backend API</t>
        </is>
      </c>
      <c r="F6" s="20" t="inlineStr">
        <is>
          <t>UncleYelloow</t>
        </is>
      </c>
      <c r="G6" s="21" t="inlineStr">
        <is>
          <t>bug, backend</t>
        </is>
      </c>
      <c r="H6" s="21" t="inlineStr">
        <is>
          <t>Bắt lỗi ER_DUP_ENTRY từ MySQL khi đăng ký tài khoản trùng email; chuẩn hóa trả về mã lỗi 409 EMAIL_ALREADY_REGISTERED đồng bộ với xử lý thông báo lỗi của giao diện Frontend.</t>
        </is>
      </c>
      <c r="I6" s="11" t="inlineStr">
        <is>
          <t>Hoàn thành</t>
        </is>
      </c>
      <c r="J6" s="22" t="n">
        <v>1</v>
      </c>
    </row>
    <row r="7" ht="28" customHeight="1">
      <c r="A7" s="19" t="n">
        <v>3</v>
      </c>
      <c r="B7" s="19" t="inlineStr">
        <is>
          <t>#21</t>
        </is>
      </c>
      <c r="C7" s="8" t="inlineStr">
        <is>
          <t>Thị giác Máy tính (AI/OCR)</t>
        </is>
      </c>
      <c r="D7" s="8" t="inlineStr">
        <is>
          <t>[BE-03] Implement Barcode Scanning Backend Support (Migration 003, Domain, DTO, OpenAPI)</t>
        </is>
      </c>
      <c r="E7" s="19" t="inlineStr">
        <is>
          <t>Backend API</t>
        </is>
      </c>
      <c r="F7" s="19" t="inlineStr">
        <is>
          <t>tducn110 (Leader)</t>
        </is>
      </c>
      <c r="G7" s="8" t="inlineStr">
        <is>
          <t>enhancement, backend</t>
        </is>
      </c>
      <c r="H7" s="8" t="inlineStr">
        <is>
          <t>Bổ sung trường barcode vào bảng food_entries (Migration 003); cập nhật Domain Model, DTOs và tài liệu OpenAPI 3.1 cho phép lưu trữ và tra cứu mã vạch sản phẩm.</t>
        </is>
      </c>
      <c r="I7" s="11" t="inlineStr">
        <is>
          <t>Hoàn thành</t>
        </is>
      </c>
      <c r="J7" s="10" t="n">
        <v>1</v>
      </c>
    </row>
    <row r="8" ht="28" customHeight="1">
      <c r="A8" s="20" t="n">
        <v>4</v>
      </c>
      <c r="B8" s="20" t="inlineStr">
        <is>
          <t>#22</t>
        </is>
      </c>
      <c r="C8" s="21" t="inlineStr">
        <is>
          <t>Backend API &amp; CSDL</t>
        </is>
      </c>
      <c r="D8" s="21" t="inlineStr">
        <is>
          <t>[BE-04] Fix Automated Environment Loading in test-dbops.mjs Quality Gate</t>
        </is>
      </c>
      <c r="E8" s="20" t="inlineStr">
        <is>
          <t>Backend API</t>
        </is>
      </c>
      <c r="F8" s="20" t="inlineStr">
        <is>
          <t>UncleYelloow</t>
        </is>
      </c>
      <c r="G8" s="21" t="inlineStr">
        <is>
          <t>bug, backend</t>
        </is>
      </c>
      <c r="H8" s="21" t="inlineStr">
        <is>
          <t>Cập nhật script kiểm thử test-dbops.mjs tự động nạp cấu hình từ database/mysql/.env, khắc phục lỗi mất kết nối MySQL cục bộ trong CI/CD quality gate.</t>
        </is>
      </c>
      <c r="I8" s="11" t="inlineStr">
        <is>
          <t>Hoàn thành</t>
        </is>
      </c>
      <c r="J8" s="22" t="n">
        <v>1</v>
      </c>
    </row>
    <row r="9" ht="28" customHeight="1">
      <c r="A9" s="19" t="n">
        <v>5</v>
      </c>
      <c r="B9" s="19" t="inlineStr">
        <is>
          <t>#23</t>
        </is>
      </c>
      <c r="C9" s="8" t="inlineStr">
        <is>
          <t>Thị giác Máy tính (AI/OCR)</t>
        </is>
      </c>
      <c r="D9" s="8" t="inlineStr">
        <is>
          <t>[BE-05] Align Scan API Routes &amp; Normalize Multipart Upload Contract</t>
        </is>
      </c>
      <c r="E9" s="19" t="inlineStr">
        <is>
          <t>Backend API</t>
        </is>
      </c>
      <c r="F9" s="19" t="inlineStr">
        <is>
          <t>tducn110 (Leader)</t>
        </is>
      </c>
      <c r="G9" s="8" t="inlineStr">
        <is>
          <t>enhancement, backend</t>
        </is>
      </c>
      <c r="H9" s="8" t="inlineStr">
        <is>
          <t>Chuẩn hóa router upload ảnh scan (/api/scan/upload) và đặc tả multipart form-data (chấp nhận cả file và image), kiểm tra dung lượng và kiểu MIME hợp lệ.</t>
        </is>
      </c>
      <c r="I9" s="11" t="inlineStr">
        <is>
          <t>Hoàn thành</t>
        </is>
      </c>
      <c r="J9" s="10" t="n">
        <v>1</v>
      </c>
    </row>
    <row r="10" ht="28" customHeight="1">
      <c r="A10" s="20" t="n">
        <v>6</v>
      </c>
      <c r="B10" s="20" t="inlineStr">
        <is>
          <t>#24</t>
        </is>
      </c>
      <c r="C10" s="21" t="inlineStr">
        <is>
          <t>Nghiệp vụ Kho (Domain)</t>
        </is>
      </c>
      <c r="D10" s="21" t="inlineStr">
        <is>
          <t>[BE-06] Add Filter Support (q, location) to Trash API Endpoint</t>
        </is>
      </c>
      <c r="E10" s="20" t="inlineStr">
        <is>
          <t>Backend API</t>
        </is>
      </c>
      <c r="F10" s="20" t="inlineStr">
        <is>
          <t>UncleYelloow</t>
        </is>
      </c>
      <c r="G10" s="21" t="inlineStr">
        <is>
          <t>bug, backend</t>
        </is>
      </c>
      <c r="H10" s="21" t="inlineStr">
        <is>
          <t>Thêm hỗ trợ tham số truy vấn tìm kiếm q (tên sản phẩm) và location (vị trí tủ) cho API endpoint Thùng rác (/api/food-entries/trash), tối ưu hóa trải nghiệm tìm kiếm đồ đã xóa.</t>
        </is>
      </c>
      <c r="I10" s="11" t="inlineStr">
        <is>
          <t>Hoàn thành</t>
        </is>
      </c>
      <c r="J10" s="22" t="n">
        <v>1</v>
      </c>
    </row>
    <row r="11" ht="28" customHeight="1">
      <c r="A11" s="19" t="n">
        <v>7</v>
      </c>
      <c r="B11" s="19" t="inlineStr">
        <is>
          <t>#25</t>
        </is>
      </c>
      <c r="C11" s="8" t="inlineStr">
        <is>
          <t>Backend API &amp; CSDL</t>
        </is>
      </c>
      <c r="D11" s="8" t="inlineStr">
        <is>
          <t>[BE-07] Implement Database Routine for Pruning Expired Sessions</t>
        </is>
      </c>
      <c r="E11" s="19" t="inlineStr">
        <is>
          <t>Backend API</t>
        </is>
      </c>
      <c r="F11" s="19" t="inlineStr">
        <is>
          <t>tducn110 (Leader)</t>
        </is>
      </c>
      <c r="G11" s="8" t="inlineStr">
        <is>
          <t>enhancement, backend</t>
        </is>
      </c>
      <c r="H11" s="8" t="inlineStr">
        <is>
          <t>Triển khai hàm pruneExpiredSessions() trong database repository thực thi câu lệnh DELETE các session quá hạn (expires_at &lt; NOW()), ngăn chặn phình to bảng user_sessions.</t>
        </is>
      </c>
      <c r="I11" s="11" t="inlineStr">
        <is>
          <t>Hoàn thành</t>
        </is>
      </c>
      <c r="J11" s="10" t="n">
        <v>1</v>
      </c>
    </row>
    <row r="12" ht="28" customHeight="1">
      <c r="A12" s="20" t="n">
        <v>8</v>
      </c>
      <c r="B12" s="20" t="inlineStr">
        <is>
          <t>#26</t>
        </is>
      </c>
      <c r="C12" s="21" t="inlineStr">
        <is>
          <t>EPIC / Khung Kế Hoạch</t>
        </is>
      </c>
      <c r="D12" s="21" t="inlineStr">
        <is>
          <t>[EPIC] Backend Architecture, API Reliability &amp; Core Feature Completion Roadmap</t>
        </is>
      </c>
      <c r="E12" s="20" t="inlineStr">
        <is>
          <t>Backend API</t>
        </is>
      </c>
      <c r="F12" s="20" t="inlineStr">
        <is>
          <t>tducn110 (Leader)</t>
        </is>
      </c>
      <c r="G12" s="21" t="inlineStr">
        <is>
          <t>documentation, enhancement, backend</t>
        </is>
      </c>
      <c r="H12" s="21" t="inlineStr">
        <is>
          <t>EPIC khung kế hoạch toàn diện cho tầng Backend: hoàn thiện ranh giới API, chuẩn hóa xử lý lỗi Problem Details (RFC 7807), đảm bảo độ tin cậy và hoàn tất các nghiệp vụ cốt lõi.</t>
        </is>
      </c>
      <c r="I12" s="11" t="inlineStr">
        <is>
          <t>Hoàn thành</t>
        </is>
      </c>
      <c r="J12" s="22" t="n">
        <v>1</v>
      </c>
    </row>
    <row r="13" ht="28" customHeight="1">
      <c r="A13" s="19" t="n">
        <v>9</v>
      </c>
      <c r="B13" s="19" t="inlineStr">
        <is>
          <t>#32</t>
        </is>
      </c>
      <c r="C13" s="8" t="inlineStr">
        <is>
          <t>EPIC / Khung Kế Hoạch</t>
        </is>
      </c>
      <c r="D13" s="8" t="inlineStr">
        <is>
          <t>[EPIC] Security Hardening &amp; Architecture Cleanliness (Post-Audit Remediation)</t>
        </is>
      </c>
      <c r="E13" s="19" t="inlineStr">
        <is>
          <t>Backend API</t>
        </is>
      </c>
      <c r="F13" s="19" t="inlineStr">
        <is>
          <t>UncleYelloow</t>
        </is>
      </c>
      <c r="G13" s="8" t="inlineStr">
        <is>
          <t>enhancement, backend, security</t>
        </is>
      </c>
      <c r="H13" s="8" t="inlineStr">
        <is>
          <t>EPIC kế hoạch khắc phục bảo mật sau đợt kiểm toán (Post-Audit): xử lý triệt để giả mạo IP, chuẩn hóa các gói phụ thuộc và làm sạch mã nguồn.</t>
        </is>
      </c>
      <c r="I13" s="11" t="inlineStr">
        <is>
          <t>Hoàn thành</t>
        </is>
      </c>
      <c r="J13" s="10" t="n">
        <v>1</v>
      </c>
    </row>
    <row r="14" ht="28" customHeight="1">
      <c r="A14" s="20" t="n">
        <v>10</v>
      </c>
      <c r="B14" s="20" t="inlineStr">
        <is>
          <t>#33</t>
        </is>
      </c>
      <c r="C14" s="21" t="inlineStr">
        <is>
          <t>Bảo mật (Security)</t>
        </is>
      </c>
      <c r="D14" s="21" t="inlineStr">
        <is>
          <t>[SEC-01] Fix IP Spoofing Vulnerability &amp; Auth Rate Limiting Bypass in auth.routes.mjs</t>
        </is>
      </c>
      <c r="E14" s="20" t="inlineStr">
        <is>
          <t>Backend API</t>
        </is>
      </c>
      <c r="F14" s="20" t="inlineStr">
        <is>
          <t>UncleYelloow</t>
        </is>
      </c>
      <c r="G14" s="21" t="inlineStr">
        <is>
          <t>bug, backend, security</t>
        </is>
      </c>
      <c r="H14" s="21" t="inlineStr">
        <is>
          <t>Khắc phục lỗ hổng IP Spoofing trong auth.routes.mjs bằng cách kiểm tra IP tin cậy cuối cùng trong chuỗi proxy; ngăn chặn kẻ tấn công vượt qua giới hạn brute-force đăng nhập.</t>
        </is>
      </c>
      <c r="I14" s="11" t="inlineStr">
        <is>
          <t>Hoàn thành</t>
        </is>
      </c>
      <c r="J14" s="22" t="n">
        <v>1</v>
      </c>
    </row>
    <row r="15" ht="28" customHeight="1">
      <c r="A15" s="19" t="n">
        <v>11</v>
      </c>
      <c r="B15" s="19" t="inlineStr">
        <is>
          <t>#34</t>
        </is>
      </c>
      <c r="C15" s="8" t="inlineStr">
        <is>
          <t>Tính năng &amp; Nhiệm vụ</t>
        </is>
      </c>
      <c r="D15" s="8" t="inlineStr">
        <is>
          <t>[TECH-01] Purge Orphan Vendor Dump browser-0.2.1/ &amp; Standardize ZXing Package Integration</t>
        </is>
      </c>
      <c r="E15" s="19" t="inlineStr">
        <is>
          <t>Backend API</t>
        </is>
      </c>
      <c r="F15" s="19" t="inlineStr">
        <is>
          <t>UncleYelloow</t>
        </is>
      </c>
      <c r="G15" s="8" t="inlineStr">
        <is>
          <t>enhancement, backend, frontend</t>
        </is>
      </c>
      <c r="H15" s="8" t="inlineStr">
        <is>
          <t>Xóa bỏ toàn bộ thư mục rác vendor dump browser-0.2.1/ nặng hàng chục MB; chuẩn hóa tích hợp thư viện quét mã vạch qua npm package @zxing/library.</t>
        </is>
      </c>
      <c r="I15" s="11" t="inlineStr">
        <is>
          <t>Hoàn thành</t>
        </is>
      </c>
      <c r="J15" s="10" t="n">
        <v>1</v>
      </c>
    </row>
    <row r="16" ht="28" customHeight="1">
      <c r="A16" s="20" t="n">
        <v>12</v>
      </c>
      <c r="B16" s="20" t="inlineStr">
        <is>
          <t>#35</t>
        </is>
      </c>
      <c r="C16" s="21" t="inlineStr">
        <is>
          <t>Nghiệp vụ Kho (Domain)</t>
        </is>
      </c>
      <c r="D16" s="21" t="inlineStr">
        <is>
          <t>[SPEC-01] Reconcile OpenAPI 3.1 Contract for Trash Filter Parameters (q, location)</t>
        </is>
      </c>
      <c r="E16" s="20" t="inlineStr">
        <is>
          <t>Backend API</t>
        </is>
      </c>
      <c r="F16" s="20" t="inlineStr">
        <is>
          <t>UncleYelloow</t>
        </is>
      </c>
      <c r="G16" s="21" t="inlineStr">
        <is>
          <t>documentation, backend</t>
        </is>
      </c>
      <c r="H16" s="21" t="inlineStr">
        <is>
          <t>Cập nhật và đồng bộ file đặc tả OpenAPI 3.1 (contracts/openapi.yaml) bổ sung đầy đủ các query parameter q và location cho endpoint /food-entries/trash.</t>
        </is>
      </c>
      <c r="I16" s="11" t="inlineStr">
        <is>
          <t>Hoàn thành</t>
        </is>
      </c>
      <c r="J16" s="22" t="n">
        <v>1</v>
      </c>
    </row>
    <row r="17" ht="28" customHeight="1">
      <c r="A17" s="19" t="n">
        <v>13</v>
      </c>
      <c r="B17" s="19" t="inlineStr">
        <is>
          <t>#36</t>
        </is>
      </c>
      <c r="C17" s="8" t="inlineStr">
        <is>
          <t>EPIC / Khung Kế Hoạch</t>
        </is>
      </c>
      <c r="D17" s="8" t="inlineStr">
        <is>
          <t>[EPIC] Frontend Real API Integration &amp; Production State Wiring (Master i1)</t>
        </is>
      </c>
      <c r="E17" s="19" t="inlineStr">
        <is>
          <t>Frontend Web</t>
        </is>
      </c>
      <c r="F17" s="19" t="inlineStr">
        <is>
          <t>UncleYelloow</t>
        </is>
      </c>
      <c r="G17" s="8" t="inlineStr">
        <is>
          <t>enhancement, frontend</t>
        </is>
      </c>
      <c r="H17" s="8" t="inlineStr">
        <is>
          <t>EPIC đấu nối API thực tế cho Frontend: chuyển đổi từ trạng thái mock dữ liệu sang kết nối HTTP API thật với đầy đủ cookie xác thực và xử lý lỗi mạng.</t>
        </is>
      </c>
      <c r="I17" s="11" t="inlineStr">
        <is>
          <t>Hoàn thành</t>
        </is>
      </c>
      <c r="J17" s="10" t="n">
        <v>1</v>
      </c>
    </row>
    <row r="18" ht="28" customHeight="1">
      <c r="A18" s="20" t="n">
        <v>14</v>
      </c>
      <c r="B18" s="20" t="inlineStr">
        <is>
          <t>#37</t>
        </is>
      </c>
      <c r="C18" s="21" t="inlineStr">
        <is>
          <t>Frontend Web App</t>
        </is>
      </c>
      <c r="D18" s="21" t="inlineStr">
        <is>
          <t>[FE-01] Mount Real API &amp; Authentication Flow into App.tsx (Sub-issue i1b)</t>
        </is>
      </c>
      <c r="E18" s="20" t="inlineStr">
        <is>
          <t>Frontend Web</t>
        </is>
      </c>
      <c r="F18" s="20" t="inlineStr">
        <is>
          <t>UncleYelloow</t>
        </is>
      </c>
      <c r="G18" s="21" t="inlineStr">
        <is>
          <t>enhancement, frontend</t>
        </is>
      </c>
      <c r="H18" s="21" t="inlineStr">
        <is>
          <t>Tích hợp luồng đăng nhập, đăng ký và phiên làm việc thực tế từ Backend vào App.tsx; quản lý trạng thái phiên bền vững với HttpOnly cookie.</t>
        </is>
      </c>
      <c r="I18" s="11" t="inlineStr">
        <is>
          <t>Hoàn thành</t>
        </is>
      </c>
      <c r="J18" s="22" t="n">
        <v>1</v>
      </c>
    </row>
    <row r="19" ht="28" customHeight="1">
      <c r="A19" s="19" t="n">
        <v>15</v>
      </c>
      <c r="B19" s="19" t="inlineStr">
        <is>
          <t>#38</t>
        </is>
      </c>
      <c r="C19" s="8" t="inlineStr">
        <is>
          <t>Frontend Web App</t>
        </is>
      </c>
      <c r="D19" s="8" t="inlineStr">
        <is>
          <t>[FE-02] Connect Real Domain Mutations with Optimistic Concurrency &amp; Idempotency (Sub-issue i1c)</t>
        </is>
      </c>
      <c r="E19" s="19" t="inlineStr">
        <is>
          <t>Frontend Web</t>
        </is>
      </c>
      <c r="F19" s="19" t="inlineStr">
        <is>
          <t>UncleYelloow</t>
        </is>
      </c>
      <c r="G19" s="8" t="inlineStr">
        <is>
          <t>enhancement, frontend</t>
        </is>
      </c>
      <c r="H19" s="8" t="inlineStr">
        <is>
          <t>Kết nối các thao tác đột biến dữ liệu (thêm món, dùng, hủy, sửa) với cơ chế Optimistic Concurrency Control (kiểm tra trường version) và gửi kèm header Idempotency-Key.</t>
        </is>
      </c>
      <c r="I19" s="11" t="inlineStr">
        <is>
          <t>Hoàn thành</t>
        </is>
      </c>
      <c r="J19" s="10" t="n">
        <v>1</v>
      </c>
    </row>
    <row r="20" ht="28" customHeight="1">
      <c r="A20" s="20" t="n">
        <v>16</v>
      </c>
      <c r="B20" s="20" t="inlineStr">
        <is>
          <t>#39</t>
        </is>
      </c>
      <c r="C20" s="21" t="inlineStr">
        <is>
          <t>Thị giác Máy tính (AI/OCR)</t>
        </is>
      </c>
      <c r="D20" s="21" t="inlineStr">
        <is>
          <t>[FE-03] Integrate In-Browser Camera Barcode Scanner UX into ScanForm</t>
        </is>
      </c>
      <c r="E20" s="20" t="inlineStr">
        <is>
          <t>Frontend Web</t>
        </is>
      </c>
      <c r="F20" s="20" t="inlineStr">
        <is>
          <t>UncleYelloow</t>
        </is>
      </c>
      <c r="G20" s="21" t="inlineStr">
        <is>
          <t>enhancement, frontend</t>
        </is>
      </c>
      <c r="H20" s="21" t="inlineStr">
        <is>
          <t>Tích hợp component quét mã vạch bằng camera trực tiếp trên trình duyệt vào ScanForm sử dụng ZXing; tự động điền mã vạch vào form nhập liệu.</t>
        </is>
      </c>
      <c r="I20" s="11" t="inlineStr">
        <is>
          <t>Hoàn thành</t>
        </is>
      </c>
      <c r="J20" s="22" t="n">
        <v>1</v>
      </c>
    </row>
    <row r="21" ht="28" customHeight="1">
      <c r="A21" s="19" t="n">
        <v>17</v>
      </c>
      <c r="B21" s="19" t="inlineStr">
        <is>
          <t>#40</t>
        </is>
      </c>
      <c r="C21" s="8" t="inlineStr">
        <is>
          <t>Frontend Web App</t>
        </is>
      </c>
      <c r="D21" s="8" t="inlineStr">
        <is>
          <t>[FE-04] Full-Stack E2E Verification &amp; Vercel Preview Quality Gate (Sub-issue i1d)</t>
        </is>
      </c>
      <c r="E21" s="19" t="inlineStr">
        <is>
          <t>Frontend Web</t>
        </is>
      </c>
      <c r="F21" s="19" t="inlineStr">
        <is>
          <t>UncleYelloow</t>
        </is>
      </c>
      <c r="G21" s="8" t="inlineStr">
        <is>
          <t>documentation, frontend</t>
        </is>
      </c>
      <c r="H21" s="8" t="inlineStr">
        <is>
          <t>Thực hiện kiểm thử tích hợp E2E toàn diện giữa Frontend trên Vercel Preview và Backend qua Cloudflare Tunnel; xác minh mọi luồng hoạt động chuẩn xác.</t>
        </is>
      </c>
      <c r="I21" s="11" t="inlineStr">
        <is>
          <t>Hoàn thành</t>
        </is>
      </c>
      <c r="J21" s="10" t="n">
        <v>1</v>
      </c>
    </row>
    <row r="22" ht="28" customHeight="1">
      <c r="A22" s="20" t="n">
        <v>18</v>
      </c>
      <c r="B22" s="20" t="inlineStr">
        <is>
          <t>#41</t>
        </is>
      </c>
      <c r="C22" s="21" t="inlineStr">
        <is>
          <t>EPIC / Khung Kế Hoạch</t>
        </is>
      </c>
      <c r="D22" s="21" t="inlineStr">
        <is>
          <t>[EPIC] Core Domain Capabilities &amp; Inventory Lifecycle (Phase 9)</t>
        </is>
      </c>
      <c r="E22" s="20" t="inlineStr">
        <is>
          <t>Backend API</t>
        </is>
      </c>
      <c r="F22" s="20" t="inlineStr">
        <is>
          <t>UncleYelloow</t>
        </is>
      </c>
      <c r="G22" s="21" t="inlineStr">
        <is>
          <t>enhancement, backend, frontend</t>
        </is>
      </c>
      <c r="H22" s="21" t="inlineStr">
        <is>
          <t>EPIC năng lực nghiệp vụ cốt lõi (Phase 9): xây dựng trọn vẹn vòng đời quản lý thực phẩm từ lúc nhập kho, phân loại hạn dùng, sử dụng, kiểm kê đến xóa vào thùng rác.</t>
        </is>
      </c>
      <c r="I22" s="11" t="inlineStr">
        <is>
          <t>Hoàn thành</t>
        </is>
      </c>
      <c r="J22" s="22" t="n">
        <v>1</v>
      </c>
    </row>
    <row r="23" ht="28" customHeight="1">
      <c r="A23" s="19" t="n">
        <v>19</v>
      </c>
      <c r="B23" s="19" t="inlineStr">
        <is>
          <t>#42</t>
        </is>
      </c>
      <c r="C23" s="8" t="inlineStr">
        <is>
          <t>Nghiệp vụ Kho (Domain)</t>
        </is>
      </c>
      <c r="D23" s="8" t="inlineStr">
        <is>
          <t>[CAP-01] Manual Capture Form &amp; Create Outcome Boundary</t>
        </is>
      </c>
      <c r="E23" s="19" t="inlineStr">
        <is>
          <t>Backend API</t>
        </is>
      </c>
      <c r="F23" s="19" t="inlineStr">
        <is>
          <t>UncleYelloow</t>
        </is>
      </c>
      <c r="G23" s="8" t="inlineStr">
        <is>
          <t>enhancement, backend, frontend</t>
        </is>
      </c>
      <c r="H23" s="8" t="inlineStr">
        <is>
          <t>Xây dựng biểu mẫu nhập thủ công (Manual Capture Form) với đầy đủ validate: tên món, vị trí, hạn dùng, số lượng, đơn vị đo; trả về mã 201 Created chuẩn RESTful.</t>
        </is>
      </c>
      <c r="I23" s="11" t="inlineStr">
        <is>
          <t>Hoàn thành</t>
        </is>
      </c>
      <c r="J23" s="10" t="n">
        <v>1</v>
      </c>
    </row>
    <row r="24" ht="28" customHeight="1">
      <c r="A24" s="20" t="n">
        <v>20</v>
      </c>
      <c r="B24" s="20" t="inlineStr">
        <is>
          <t>#43</t>
        </is>
      </c>
      <c r="C24" s="21" t="inlineStr">
        <is>
          <t>Nghiệp vụ Kho (Domain)</t>
        </is>
      </c>
      <c r="D24" s="21" t="inlineStr">
        <is>
          <t>[CAP-02] Owned Inventory &amp; Attention Status Engine</t>
        </is>
      </c>
      <c r="E24" s="20" t="inlineStr">
        <is>
          <t>Backend API</t>
        </is>
      </c>
      <c r="F24" s="20" t="inlineStr">
        <is>
          <t>UncleYelloow</t>
        </is>
      </c>
      <c r="G24" s="21" t="inlineStr">
        <is>
          <t>enhancement, backend, frontend</t>
        </is>
      </c>
      <c r="H24" s="21" t="inlineStr">
        <is>
          <t>Phát triển công cụ tính toán hạn dùng (Attention Status Engine): tự động phân loại thực phẩm thành Hết hạn (Expired), Cần chú ý (Action Needed), Tươi mới (Fresh) theo múi giờ địa phương của user.</t>
        </is>
      </c>
      <c r="I24" s="11" t="inlineStr">
        <is>
          <t>Hoàn thành</t>
        </is>
      </c>
      <c r="J24" s="22" t="n">
        <v>1</v>
      </c>
    </row>
    <row r="25" ht="28" customHeight="1">
      <c r="A25" s="19" t="n">
        <v>21</v>
      </c>
      <c r="B25" s="19" t="inlineStr">
        <is>
          <t>#44</t>
        </is>
      </c>
      <c r="C25" s="8" t="inlineStr">
        <is>
          <t>Nghiệp vụ Kho (Domain)</t>
        </is>
      </c>
      <c r="D25" s="8" t="inlineStr">
        <is>
          <t>[CAP-03] Food Item Detail View, Provenance &amp; History Navigation</t>
        </is>
      </c>
      <c r="E25" s="19" t="inlineStr">
        <is>
          <t>Frontend Web</t>
        </is>
      </c>
      <c r="F25" s="19" t="inlineStr">
        <is>
          <t>UncleYelloow</t>
        </is>
      </c>
      <c r="G25" s="8" t="inlineStr">
        <is>
          <t>enhancement, frontend</t>
        </is>
      </c>
      <c r="H25" s="8" t="inlineStr">
        <is>
          <t>Xây dựng màn hình xem chi tiết thực phẩm (Food Detail View), hiển thị nguồn gốc xuất xứ (OCR/Barcode/Manual) và điều hướng xem dòng thời gian lịch sử biến động.</t>
        </is>
      </c>
      <c r="I25" s="11" t="inlineStr">
        <is>
          <t>Hoàn thành</t>
        </is>
      </c>
      <c r="J25" s="10" t="n">
        <v>1</v>
      </c>
    </row>
    <row r="26" ht="28" customHeight="1">
      <c r="A26" s="20" t="n">
        <v>22</v>
      </c>
      <c r="B26" s="20" t="inlineStr">
        <is>
          <t>#45</t>
        </is>
      </c>
      <c r="C26" s="21" t="inlineStr">
        <is>
          <t>Nghiệp vụ Kho (Domain)</t>
        </is>
      </c>
      <c r="D26" s="21" t="inlineStr">
        <is>
          <t>[CAP-04] Stock Movement Operations: Consume &amp; Discard with Ledger Consistency</t>
        </is>
      </c>
      <c r="E26" s="20" t="inlineStr">
        <is>
          <t>Backend API</t>
        </is>
      </c>
      <c r="F26" s="20" t="inlineStr">
        <is>
          <t>UncleYelloow</t>
        </is>
      </c>
      <c r="G26" s="21" t="inlineStr">
        <is>
          <t>enhancement, backend, frontend</t>
        </is>
      </c>
      <c r="H26" s="21" t="inlineStr">
        <is>
          <t>Triển khai các thao tác xuất kho Tiêu thụ (Consume) và Hủy bỏ (Discard) ghi nhận vào bảng stock_movements; đảm bảo tính toàn vẹn số dư kho và không cho phép xuất âm.</t>
        </is>
      </c>
      <c r="I26" s="11" t="inlineStr">
        <is>
          <t>Hoàn thành</t>
        </is>
      </c>
      <c r="J26" s="22" t="n">
        <v>1</v>
      </c>
    </row>
    <row r="27" ht="28" customHeight="1">
      <c r="A27" s="19" t="n">
        <v>23</v>
      </c>
      <c r="B27" s="19" t="inlineStr">
        <is>
          <t>#46</t>
        </is>
      </c>
      <c r="C27" s="8" t="inlineStr">
        <is>
          <t>Nghiệp vụ Kho (Domain)</t>
        </is>
      </c>
      <c r="D27" s="8" t="inlineStr">
        <is>
          <t>[CAP-05] Metadata Correction &amp; Physical Recount with Version Concurrency Control</t>
        </is>
      </c>
      <c r="E27" s="19" t="inlineStr">
        <is>
          <t>Backend API</t>
        </is>
      </c>
      <c r="F27" s="19" t="inlineStr">
        <is>
          <t>tducn110 (Leader)</t>
        </is>
      </c>
      <c r="G27" s="8" t="inlineStr">
        <is>
          <t>enhancement, backend, frontend</t>
        </is>
      </c>
      <c r="H27" s="8" t="inlineStr">
        <is>
          <t>Phát triển tính năng sửa thông tin thực phẩm và Kiểm kê số lượng thực tế (Physical Recount) có kiểm soát xung đột tương tranh qua Optimistic Locking (cột version).</t>
        </is>
      </c>
      <c r="I27" s="11" t="inlineStr">
        <is>
          <t>Hoàn thành</t>
        </is>
      </c>
      <c r="J27" s="10" t="n">
        <v>1</v>
      </c>
    </row>
    <row r="28" ht="28" customHeight="1">
      <c r="A28" s="20" t="n">
        <v>24</v>
      </c>
      <c r="B28" s="20" t="inlineStr">
        <is>
          <t>#47</t>
        </is>
      </c>
      <c r="C28" s="21" t="inlineStr">
        <is>
          <t>Nghiệp vụ Kho (Domain)</t>
        </is>
      </c>
      <c r="D28" s="21" t="inlineStr">
        <is>
          <t>[CAP-06] Trash Lifecycle: Soft-Delete, Retention Period &amp; One-Click Restore</t>
        </is>
      </c>
      <c r="E28" s="20" t="inlineStr">
        <is>
          <t>Backend API</t>
        </is>
      </c>
      <c r="F28" s="20" t="inlineStr">
        <is>
          <t>UncleYelloow</t>
        </is>
      </c>
      <c r="G28" s="21" t="inlineStr">
        <is>
          <t>enhancement, backend, frontend</t>
        </is>
      </c>
      <c r="H28" s="21" t="inlineStr">
        <is>
          <t>Xây dựng vòng đời Thùng rác (Trash Lifecycle): hỗ trợ xóa mềm (is_deleted=1), hiển thị danh sách thùng rác kèm ngày xóa và tính năng khôi phục 1 chạm (Restore).</t>
        </is>
      </c>
      <c r="I28" s="11" t="inlineStr">
        <is>
          <t>Hoàn thành</t>
        </is>
      </c>
      <c r="J28" s="22" t="n">
        <v>1</v>
      </c>
    </row>
    <row r="29" ht="28" customHeight="1">
      <c r="A29" s="19" t="n">
        <v>25</v>
      </c>
      <c r="B29" s="19" t="inlineStr">
        <is>
          <t>#48</t>
        </is>
      </c>
      <c r="C29" s="8" t="inlineStr">
        <is>
          <t>Nghiệp vụ Kho (Domain)</t>
        </is>
      </c>
      <c r="D29" s="8" t="inlineStr">
        <is>
          <t>[CAP-07] User Preferences &amp; Owner-Local Timezone Attention Refresh</t>
        </is>
      </c>
      <c r="E29" s="19" t="inlineStr">
        <is>
          <t>Backend API</t>
        </is>
      </c>
      <c r="F29" s="19" t="inlineStr">
        <is>
          <t>UncleYelloow</t>
        </is>
      </c>
      <c r="G29" s="8" t="inlineStr">
        <is>
          <t>enhancement, backend, frontend</t>
        </is>
      </c>
      <c r="H29" s="8" t="inlineStr">
        <is>
          <t>Lưu trữ tùy chọn cá nhân của người dùng (Preferences) bao gồm múi giờ (timezone) và ngưỡng ngày cảnh báo trước hạn; tự động cập nhật trạng thái kho theo múi giờ cục bộ.</t>
        </is>
      </c>
      <c r="I29" s="11" t="inlineStr">
        <is>
          <t>Hoàn thành</t>
        </is>
      </c>
      <c r="J29" s="10" t="n">
        <v>1</v>
      </c>
    </row>
    <row r="30" ht="28" customHeight="1">
      <c r="A30" s="20" t="n">
        <v>26</v>
      </c>
      <c r="B30" s="20" t="inlineStr">
        <is>
          <t>#49</t>
        </is>
      </c>
      <c r="C30" s="21" t="inlineStr">
        <is>
          <t>EPIC / Khung Kế Hoạch</t>
        </is>
      </c>
      <c r="D30" s="21" t="inlineStr">
        <is>
          <t>[EPIC] Intelligent Date Extraction &amp; OCR Scan Service Pipeline</t>
        </is>
      </c>
      <c r="E30" s="20" t="inlineStr">
        <is>
          <t>Backend API</t>
        </is>
      </c>
      <c r="F30" s="20" t="inlineStr">
        <is>
          <t>tducn110 (Leader)</t>
        </is>
      </c>
      <c r="G30" s="21" t="inlineStr">
        <is>
          <t>enhancement, backend</t>
        </is>
      </c>
      <c r="H30" s="21" t="inlineStr">
        <is>
          <t>EPIC hệ thống nhận diện ngày hết hạn thông minh bằng AI: tích hợp pipeline OCR DateReg và cơ chế trích xuất ngày tháng linh hoạt.</t>
        </is>
      </c>
      <c r="I30" s="11" t="inlineStr">
        <is>
          <t>Hoàn thành</t>
        </is>
      </c>
      <c r="J30" s="22" t="n">
        <v>1</v>
      </c>
    </row>
    <row r="31" ht="28" customHeight="1">
      <c r="A31" s="19" t="n">
        <v>27</v>
      </c>
      <c r="B31" s="19" t="inlineStr">
        <is>
          <t>#50</t>
        </is>
      </c>
      <c r="C31" s="8" t="inlineStr">
        <is>
          <t>Thị giác Máy tính (AI/OCR)</t>
        </is>
      </c>
      <c r="D31" s="8" t="inlineStr">
        <is>
          <t>[AI-01] DateReg YOLO Detection &amp; CTC Recognition Pipeline Integration</t>
        </is>
      </c>
      <c r="E31" s="19" t="inlineStr">
        <is>
          <t>Backend API</t>
        </is>
      </c>
      <c r="F31" s="19" t="inlineStr">
        <is>
          <t>tducn110 (Leader)</t>
        </is>
      </c>
      <c r="G31" s="8" t="inlineStr">
        <is>
          <t>enhancement, backend</t>
        </is>
      </c>
      <c r="H31" s="8" t="inlineStr">
        <is>
          <t>Tích hợp mô hình Deep Learning DateReg: sử dụng YOLO để phát hiện vùng in ngày tháng trên bao bì và mạng CTC/CRNN để nhận dạng ký tự quang học.</t>
        </is>
      </c>
      <c r="I31" s="11" t="inlineStr">
        <is>
          <t>Hoàn thành</t>
        </is>
      </c>
      <c r="J31" s="10" t="n">
        <v>1</v>
      </c>
    </row>
    <row r="32" ht="28" customHeight="1">
      <c r="A32" s="20" t="n">
        <v>28</v>
      </c>
      <c r="B32" s="20" t="inlineStr">
        <is>
          <t>#51</t>
        </is>
      </c>
      <c r="C32" s="21" t="inlineStr">
        <is>
          <t>Thị giác Máy tính (AI/OCR)</t>
        </is>
      </c>
      <c r="D32" s="21" t="inlineStr">
        <is>
          <t>[AI-02] Hybrid OCR Fallback: Tesseract Engine &amp; Heuristic Date Normalizer</t>
        </is>
      </c>
      <c r="E32" s="20" t="inlineStr">
        <is>
          <t>Backend API</t>
        </is>
      </c>
      <c r="F32" s="20" t="inlineStr">
        <is>
          <t>tducn110 (Leader)</t>
        </is>
      </c>
      <c r="G32" s="21" t="inlineStr">
        <is>
          <t>enhancement, backend</t>
        </is>
      </c>
      <c r="H32" s="21" t="inlineStr">
        <is>
          <t>Xây dựng cơ chế OCR dự phòng (Hybrid Fallback): sử dụng Tesseract OCR kết hợp với thuật toán heuristic Date Normalizer khi mô hình DateReg không khả dụng.</t>
        </is>
      </c>
      <c r="I32" s="11" t="inlineStr">
        <is>
          <t>Hoàn thành</t>
        </is>
      </c>
      <c r="J32" s="22" t="n">
        <v>1</v>
      </c>
    </row>
    <row r="33" ht="28" customHeight="1">
      <c r="A33" s="19" t="n">
        <v>29</v>
      </c>
      <c r="B33" s="19" t="inlineStr">
        <is>
          <t>#52</t>
        </is>
      </c>
      <c r="C33" s="8" t="inlineStr">
        <is>
          <t>Thị giác Máy tính (AI/OCR)</t>
        </is>
      </c>
      <c r="D33" s="8" t="inlineStr">
        <is>
          <t>[AI-03] Candidate Confidence Scoring &amp; Bounding Box Review UX Contract</t>
        </is>
      </c>
      <c r="E33" s="19" t="inlineStr">
        <is>
          <t>Backend API</t>
        </is>
      </c>
      <c r="F33" s="19" t="inlineStr">
        <is>
          <t>tducn110 (Leader)</t>
        </is>
      </c>
      <c r="G33" s="8" t="inlineStr">
        <is>
          <t>enhancement, backend, frontend</t>
        </is>
      </c>
      <c r="H33" s="8" t="inlineStr">
        <is>
          <t>Thiết kế hợp đồng giao diện chấm điểm độ tin cậy (Confidence Score) cho từng ứng viên ngày bóc tách được và hiển thị khung nhận diện (Bounding Box) để user review.</t>
        </is>
      </c>
      <c r="I33" s="11" t="inlineStr">
        <is>
          <t>Hoàn thành</t>
        </is>
      </c>
      <c r="J33" s="10" t="n">
        <v>1</v>
      </c>
    </row>
    <row r="34" ht="28" customHeight="1">
      <c r="A34" s="20" t="n">
        <v>30</v>
      </c>
      <c r="B34" s="20" t="inlineStr">
        <is>
          <t>#53</t>
        </is>
      </c>
      <c r="C34" s="21" t="inlineStr">
        <is>
          <t>EPIC / Khung Kế Hoạch</t>
        </is>
      </c>
      <c r="D34" s="21" t="inlineStr">
        <is>
          <t>[EPIC] Mobile-First Responsive Design &amp; Accessibility (Phase 10)</t>
        </is>
      </c>
      <c r="E34" s="20" t="inlineStr">
        <is>
          <t>Frontend Web</t>
        </is>
      </c>
      <c r="F34" s="20" t="inlineStr">
        <is>
          <t>tducn110 (Leader)</t>
        </is>
      </c>
      <c r="G34" s="21" t="inlineStr">
        <is>
          <t>accessibility, enhancement, frontend</t>
        </is>
      </c>
      <c r="H34" s="21" t="inlineStr">
        <is>
          <t>EPIC thiết kế giao diện ưu tiên thiết bị di động (Mobile-First) và khả năng tiếp cận (Phase 10): đảm bảo trải nghiệm cảm ứng mượt mà và thân thiện với mọi người dùng.</t>
        </is>
      </c>
      <c r="I34" s="11" t="inlineStr">
        <is>
          <t>Hoàn thành</t>
        </is>
      </c>
      <c r="J34" s="22" t="n">
        <v>1</v>
      </c>
    </row>
    <row r="35" ht="28" customHeight="1">
      <c r="A35" s="19" t="n">
        <v>31</v>
      </c>
      <c r="B35" s="19" t="inlineStr">
        <is>
          <t>#54</t>
        </is>
      </c>
      <c r="C35" s="8" t="inlineStr">
        <is>
          <t>Giao diện &amp; Trợ năng (UI/A11y)</t>
        </is>
      </c>
      <c r="D35" s="8" t="inlineStr">
        <is>
          <t>[RSP-01] Mobile Navigation, Bottom Dock Bar &amp; Safe-Area Inset Handling</t>
        </is>
      </c>
      <c r="E35" s="19" t="inlineStr">
        <is>
          <t>Frontend Web</t>
        </is>
      </c>
      <c r="F35" s="19" t="inlineStr">
        <is>
          <t>tducn110 (Leader)</t>
        </is>
      </c>
      <c r="G35" s="8" t="inlineStr">
        <is>
          <t>enhancement, frontend</t>
        </is>
      </c>
      <c r="H35" s="8" t="inlineStr">
        <is>
          <t>Thiết kế thanh điều hướng dưới đáy (Bottom Dock Bar) trên mobile; xử lý chuẩn xác vùng an toàn màn hình khuyết tật (Safe-Area Insets cho iPhone/Android).</t>
        </is>
      </c>
      <c r="I35" s="11" t="inlineStr">
        <is>
          <t>Hoàn thành</t>
        </is>
      </c>
      <c r="J35" s="10" t="n">
        <v>1</v>
      </c>
    </row>
    <row r="36" ht="28" customHeight="1">
      <c r="A36" s="20" t="n">
        <v>32</v>
      </c>
      <c r="B36" s="20" t="inlineStr">
        <is>
          <t>#55</t>
        </is>
      </c>
      <c r="C36" s="21" t="inlineStr">
        <is>
          <t>Giao diện &amp; Trợ năng (UI/A11y)</t>
        </is>
      </c>
      <c r="D36" s="21" t="inlineStr">
        <is>
          <t>[RSP-02] Form Ergonomics, Mobile DatePicker &amp; Virtual Keyboard Viewport Sweeps</t>
        </is>
      </c>
      <c r="E36" s="20" t="inlineStr">
        <is>
          <t>Frontend Web</t>
        </is>
      </c>
      <c r="F36" s="20" t="inlineStr">
        <is>
          <t>tducn110 (Leader)</t>
        </is>
      </c>
      <c r="G36" s="21" t="inlineStr">
        <is>
          <t>enhancement, frontend</t>
        </is>
      </c>
      <c r="H36" s="21" t="inlineStr">
        <is>
          <t>Tối ưu hóa công thái học biểu mẫu trên di động: tự động cuộn màn hình tránh che khuất bởi bàn phím ảo, hỗ trợ bàn phím số cho trường số lượng.</t>
        </is>
      </c>
      <c r="I36" s="11" t="inlineStr">
        <is>
          <t>Hoàn thành</t>
        </is>
      </c>
      <c r="J36" s="22" t="n">
        <v>1</v>
      </c>
    </row>
    <row r="37" ht="28" customHeight="1">
      <c r="A37" s="19" t="n">
        <v>33</v>
      </c>
      <c r="B37" s="19" t="inlineStr">
        <is>
          <t>#56</t>
        </is>
      </c>
      <c r="C37" s="8" t="inlineStr">
        <is>
          <t>Giao diện &amp; Trợ năng (UI/A11y)</t>
        </is>
      </c>
      <c r="D37" s="8" t="inlineStr">
        <is>
          <t>[A11Y-01] WCAG 2.1 AA Accessibility: Keyboard Navigation, ARIA Semantics &amp; Color Contrast</t>
        </is>
      </c>
      <c r="E37" s="19" t="inlineStr">
        <is>
          <t>Frontend Web</t>
        </is>
      </c>
      <c r="F37" s="19" t="inlineStr">
        <is>
          <t>tducn110 (Leader)</t>
        </is>
      </c>
      <c r="G37" s="8" t="inlineStr">
        <is>
          <t>accessibility, frontend</t>
        </is>
      </c>
      <c r="H37" s="8" t="inlineStr">
        <is>
          <t>Tối ưu hóa khả năng tiếp cận theo chuẩn WCAG 2.1 AA: hỗ trợ điều hướng hoàn toàn bằng bàn phím (Tab order), bổ sung aria-label, kiểm tra độ tương phản màu sắc &gt; 4.5:1.</t>
        </is>
      </c>
      <c r="I37" s="11" t="inlineStr">
        <is>
          <t>Hoàn thành</t>
        </is>
      </c>
      <c r="J37" s="10" t="n">
        <v>1</v>
      </c>
    </row>
    <row r="38" ht="28" customHeight="1">
      <c r="A38" s="20" t="n">
        <v>34</v>
      </c>
      <c r="B38" s="20" t="inlineStr">
        <is>
          <t>#57</t>
        </is>
      </c>
      <c r="C38" s="21" t="inlineStr">
        <is>
          <t>EPIC / Khung Kế Hoạch</t>
        </is>
      </c>
      <c r="D38" s="21" t="inlineStr">
        <is>
          <t>[EPIC] DevOps, CI/CD Automated Quality Gates &amp; Deployment Lifecycle</t>
        </is>
      </c>
      <c r="E38" s="20" t="inlineStr">
        <is>
          <t>Tài liệu &amp; Contract</t>
        </is>
      </c>
      <c r="F38" s="20" t="inlineStr">
        <is>
          <t>tducn110 (Leader)</t>
        </is>
      </c>
      <c r="G38" s="21" t="inlineStr">
        <is>
          <t>documentation, enhancement</t>
        </is>
      </c>
      <c r="H38" s="21" t="inlineStr">
        <is>
          <t>EPIC tự động hóa DevOps và cổng kiểm soát chất lượng CI/CD: thiết lập pipeline kiểm thử đa tầng trước khi cho phép merge code vào nhánh develop và main.</t>
        </is>
      </c>
      <c r="I38" s="11" t="inlineStr">
        <is>
          <t>Hoàn thành</t>
        </is>
      </c>
      <c r="J38" s="22" t="n">
        <v>1</v>
      </c>
    </row>
    <row r="39" ht="28" customHeight="1">
      <c r="A39" s="19" t="n">
        <v>35</v>
      </c>
      <c r="B39" s="19" t="inlineStr">
        <is>
          <t>#58</t>
        </is>
      </c>
      <c r="C39" s="8" t="inlineStr">
        <is>
          <t>Thị giác Máy tính (AI/OCR)</t>
        </is>
      </c>
      <c r="D39" s="8" t="inlineStr">
        <is>
          <t>[OPS-01] Multi-Stage GitHub Actions CI Pipeline with Dockerized MySQL &amp; Python Scan</t>
        </is>
      </c>
      <c r="E39" s="19" t="inlineStr">
        <is>
          <t>AI OCR Service</t>
        </is>
      </c>
      <c r="F39" s="19" t="inlineStr">
        <is>
          <t>tducn110 (Leader)</t>
        </is>
      </c>
      <c r="G39" s="8" t="inlineStr">
        <is>
          <t>documentation, enhancement</t>
        </is>
      </c>
      <c r="H39" s="8" t="inlineStr">
        <is>
          <t>Xây dựng GitHub Actions workflow hoàn chỉnh với các bước kiểm tra: oxfmt linter, typecheck TypeScript, khởi tạo MySQL container để chạy test-dbops và test hành vi E2E.</t>
        </is>
      </c>
      <c r="I39" s="11" t="inlineStr">
        <is>
          <t>Hoàn thành</t>
        </is>
      </c>
      <c r="J39" s="10" t="n">
        <v>1</v>
      </c>
    </row>
    <row r="40" ht="28" customHeight="1">
      <c r="A40" s="20" t="n">
        <v>36</v>
      </c>
      <c r="B40" s="20" t="inlineStr">
        <is>
          <t>#59</t>
        </is>
      </c>
      <c r="C40" s="21" t="inlineStr">
        <is>
          <t>DevOps &amp; Vận hành</t>
        </is>
      </c>
      <c r="D40" s="21" t="inlineStr">
        <is>
          <t>[OPS-02] Automated Mobile Webhook Notification for Expiry Alerts (scripts/notify-mobile.mjs)</t>
        </is>
      </c>
      <c r="E40" s="20" t="inlineStr">
        <is>
          <t>Backend API</t>
        </is>
      </c>
      <c r="F40" s="20" t="inlineStr">
        <is>
          <t>tducn110 (Leader)</t>
        </is>
      </c>
      <c r="G40" s="21" t="inlineStr">
        <is>
          <t>enhancement, backend</t>
        </is>
      </c>
      <c r="H40" s="21" t="inlineStr">
        <is>
          <t>Phát triển kịch bản tự động scripts/notify-mobile.mjs gửi thông báo qua Webhook di động nhắc nhở người dùng các món thực phẩm sắp hết hạn.</t>
        </is>
      </c>
      <c r="I40" s="11" t="inlineStr">
        <is>
          <t>Hoàn thành</t>
        </is>
      </c>
      <c r="J40" s="22" t="n">
        <v>1</v>
      </c>
    </row>
    <row r="41" ht="28" customHeight="1">
      <c r="A41" s="19" t="n">
        <v>37</v>
      </c>
      <c r="B41" s="19" t="inlineStr">
        <is>
          <t>#60</t>
        </is>
      </c>
      <c r="C41" s="8" t="inlineStr">
        <is>
          <t>DevOps &amp; Vận hành</t>
        </is>
      </c>
      <c r="D41" s="8" t="inlineStr">
        <is>
          <t>[OPS-03] Cloudflare Tunnel &amp; Vercel Reverse Proxy Production Health Monitoring</t>
        </is>
      </c>
      <c r="E41" s="19" t="inlineStr">
        <is>
          <t>Tài liệu &amp; Contract</t>
        </is>
      </c>
      <c r="F41" s="19" t="inlineStr">
        <is>
          <t>tducn110 (Leader)</t>
        </is>
      </c>
      <c r="G41" s="8" t="inlineStr">
        <is>
          <t>documentation, enhancement</t>
        </is>
      </c>
      <c r="H41" s="8" t="inlineStr">
        <is>
          <t>Thiết lập cơ chế giám sát kết nối giữa Cloudflare Tunnel và Vercel Reverse Proxy, đảm bảo backend phản hồi với độ trễ thấp và không bị ngắt kết nối.</t>
        </is>
      </c>
      <c r="I41" s="11" t="inlineStr">
        <is>
          <t>Hoàn thành</t>
        </is>
      </c>
      <c r="J41" s="10" t="n">
        <v>1</v>
      </c>
    </row>
    <row r="42" ht="28" customHeight="1">
      <c r="A42" s="20" t="n">
        <v>38</v>
      </c>
      <c r="B42" s="20" t="inlineStr">
        <is>
          <t>#61</t>
        </is>
      </c>
      <c r="C42" s="21" t="inlineStr">
        <is>
          <t>EPIC / Khung Kế Hoạch</t>
        </is>
      </c>
      <c r="D42" s="21" t="inlineStr">
        <is>
          <t>[EPIC] Performance Optimization &amp; N+1 Query Elimination</t>
        </is>
      </c>
      <c r="E42" s="20" t="inlineStr">
        <is>
          <t>Backend API</t>
        </is>
      </c>
      <c r="F42" s="20" t="inlineStr">
        <is>
          <t>tducn110 (Leader)</t>
        </is>
      </c>
      <c r="G42" s="21" t="inlineStr">
        <is>
          <t>enhancement, backend, frontend</t>
        </is>
      </c>
      <c r="H42" s="21" t="inlineStr">
        <is>
          <t>EPIC tối ưu hóa hiệu năng và triệt tiêu truy vấn N+1: tinh giản các câu lệnh SQL, giảm thiểu tải mạng và thời gian phản hồi cho cả Client và Server.</t>
        </is>
      </c>
      <c r="I42" s="11" t="inlineStr">
        <is>
          <t>Hoàn thành</t>
        </is>
      </c>
      <c r="J42" s="22" t="n">
        <v>1</v>
      </c>
    </row>
    <row r="43" ht="28" customHeight="1">
      <c r="A43" s="19" t="n">
        <v>39</v>
      </c>
      <c r="B43" s="19" t="inlineStr">
        <is>
          <t>#62</t>
        </is>
      </c>
      <c r="C43" s="8" t="inlineStr">
        <is>
          <t>Tối ưu Hiệu năng (Perf)</t>
        </is>
      </c>
      <c r="D43" s="8" t="inlineStr">
        <is>
          <t>[PERF-01] Eliminate Frontend Waterfall Fan-out &amp; All-Pages N+1 Fetching in useExpiry.ts</t>
        </is>
      </c>
      <c r="E43" s="19" t="inlineStr">
        <is>
          <t>Frontend Web</t>
        </is>
      </c>
      <c r="F43" s="19" t="inlineStr">
        <is>
          <t>tducn110 (Leader)</t>
        </is>
      </c>
      <c r="G43" s="8" t="inlineStr">
        <is>
          <t>enhancement, frontend</t>
        </is>
      </c>
      <c r="H43" s="8" t="inlineStr">
        <is>
          <t>Loại bỏ hoàn toàn mô hình tải thác nước (waterfall fan-out) và vòng lặp tải vô hạn trong useExpiry.ts; chuyển sang nạp dữ liệu phân trang đồng thời.</t>
        </is>
      </c>
      <c r="I43" s="11" t="inlineStr">
        <is>
          <t>Hoàn thành</t>
        </is>
      </c>
      <c r="J43" s="10" t="n">
        <v>1</v>
      </c>
    </row>
    <row r="44" ht="28" customHeight="1">
      <c r="A44" s="20" t="n">
        <v>40</v>
      </c>
      <c r="B44" s="20" t="inlineStr">
        <is>
          <t>#63</t>
        </is>
      </c>
      <c r="C44" s="21" t="inlineStr">
        <is>
          <t>Tối ưu Hiệu năng (Perf)</t>
        </is>
      </c>
      <c r="D44" s="21" t="inlineStr">
        <is>
          <t>[PERF-02] Push Down SQL LIMIT/OFFSET to stock_movements Query (Fix In-Memory Pagination)</t>
        </is>
      </c>
      <c r="E44" s="20" t="inlineStr">
        <is>
          <t>Backend API</t>
        </is>
      </c>
      <c r="F44" s="20" t="inlineStr">
        <is>
          <t>tducn110 (Leader)</t>
        </is>
      </c>
      <c r="G44" s="21" t="inlineStr">
        <is>
          <t>enhancement, backend</t>
        </is>
      </c>
      <c r="H44" s="21" t="inlineStr">
        <is>
          <t>Đẩy mệnh đề LIMIT và OFFSET xuống trực tiếp câu lệnh SQL của bảng stock_movements, loại bỏ việc phân trang trên bộ nhớ RAM Node.js.</t>
        </is>
      </c>
      <c r="I44" s="11" t="inlineStr">
        <is>
          <t>Hoàn thành</t>
        </is>
      </c>
      <c r="J44" s="22" t="n">
        <v>1</v>
      </c>
    </row>
    <row r="45" ht="28" customHeight="1">
      <c r="A45" s="19" t="n">
        <v>41</v>
      </c>
      <c r="B45" s="19" t="inlineStr">
        <is>
          <t>#64</t>
        </is>
      </c>
      <c r="C45" s="8" t="inlineStr">
        <is>
          <t>Tối ưu Hiệu năng (Perf)</t>
        </is>
      </c>
      <c r="D45" s="8" t="inlineStr">
        <is>
          <t>[PERF-03] Optimize Entry Detail &amp; Eliminate N+1 Preference Lookups via Single Query</t>
        </is>
      </c>
      <c r="E45" s="19" t="inlineStr">
        <is>
          <t>Backend API</t>
        </is>
      </c>
      <c r="F45" s="19" t="inlineStr">
        <is>
          <t>tducn110 (Leader)</t>
        </is>
      </c>
      <c r="G45" s="8" t="inlineStr">
        <is>
          <t>enhancement, backend</t>
        </is>
      </c>
      <c r="H45" s="8" t="inlineStr">
        <is>
          <t>Tối ưu màn hình chi tiết món ăn: gom câu truy vấn thông tin món và tùy chọn người dùng vào một câu SQL JOIN duy nhất, xóa bỏ triệt để 1 truy vấn dư thừa mỗi lần xem.</t>
        </is>
      </c>
      <c r="I45" s="11" t="inlineStr">
        <is>
          <t>Hoàn thành</t>
        </is>
      </c>
      <c r="J45" s="10" t="n">
        <v>1</v>
      </c>
    </row>
    <row r="46" ht="28" customHeight="1">
      <c r="A46" s="20" t="n">
        <v>42</v>
      </c>
      <c r="B46" s="20" t="inlineStr">
        <is>
          <t>#65</t>
        </is>
      </c>
      <c r="C46" s="21" t="inlineStr">
        <is>
          <t>Tối ưu Hiệu năng (Perf)</t>
        </is>
      </c>
      <c r="D46" s="21" t="inlineStr">
        <is>
          <t>[PERF-04] Optimize Inventory List Count Query by Bypassing CTE when Attention Filter is Absent</t>
        </is>
      </c>
      <c r="E46" s="20" t="inlineStr">
        <is>
          <t>Backend API</t>
        </is>
      </c>
      <c r="F46" s="20" t="inlineStr">
        <is>
          <t>tducn110 (Leader)</t>
        </is>
      </c>
      <c r="G46" s="21" t="inlineStr">
        <is>
          <t>enhancement, backend</t>
        </is>
      </c>
      <c r="H46" s="21" t="inlineStr">
        <is>
          <t>Tối ưu hóa câu lệnh đếm tổng số lượng kho (COUNT query): tự động bỏ qua khối CTE tính toán attention phức tạp khi người dùng không chọn bộ lọc theo hạn dùng.</t>
        </is>
      </c>
      <c r="I46" s="11" t="inlineStr">
        <is>
          <t>Hoàn thành</t>
        </is>
      </c>
      <c r="J46" s="22" t="n">
        <v>1</v>
      </c>
    </row>
    <row r="47" ht="28" customHeight="1">
      <c r="A47" s="19" t="n">
        <v>43</v>
      </c>
      <c r="B47" s="19" t="inlineStr">
        <is>
          <t>#66</t>
        </is>
      </c>
      <c r="C47" s="8" t="inlineStr">
        <is>
          <t>Tối ưu Hiệu năng (Perf)</t>
        </is>
      </c>
      <c r="D47" s="8" t="inlineStr">
        <is>
          <t>[PERF-05] Remove Redundant SET SESSION time_zone Network Roundtrip on Pooled Connections</t>
        </is>
      </c>
      <c r="E47" s="19" t="inlineStr">
        <is>
          <t>Backend API</t>
        </is>
      </c>
      <c r="F47" s="19" t="inlineStr">
        <is>
          <t>tducn110 (Leader)</t>
        </is>
      </c>
      <c r="G47" s="8" t="inlineStr">
        <is>
          <t>enhancement, backend</t>
        </is>
      </c>
      <c r="H47" s="8" t="inlineStr">
        <is>
          <t>Loại bỏ câu lệnh SET SESSION time_zone thừa thãi gửi đi trên từng kết nối pool; chỉ thiết lập 1 lần duy nhất khi tạo kết nối mới.</t>
        </is>
      </c>
      <c r="I47" s="11" t="inlineStr">
        <is>
          <t>Hoàn thành</t>
        </is>
      </c>
      <c r="J47" s="10" t="n">
        <v>1</v>
      </c>
    </row>
    <row r="48" ht="28" customHeight="1">
      <c r="A48" s="20" t="n">
        <v>44</v>
      </c>
      <c r="B48" s="20" t="inlineStr">
        <is>
          <t>#67</t>
        </is>
      </c>
      <c r="C48" s="21" t="inlineStr">
        <is>
          <t>EPIC / Khung Kế Hoạch</t>
        </is>
      </c>
      <c r="D48" s="21" t="inlineStr">
        <is>
          <t>[EPIC] Backend Robustness, Security Fixes &amp; Table Bloat Prevention</t>
        </is>
      </c>
      <c r="E48" s="20" t="inlineStr">
        <is>
          <t>Backend API</t>
        </is>
      </c>
      <c r="F48" s="20" t="inlineStr">
        <is>
          <t>tducn110 (Leader)</t>
        </is>
      </c>
      <c r="G48" s="21" t="inlineStr">
        <is>
          <t>bug, enhancement, backend, security</t>
        </is>
      </c>
      <c r="H48" s="21" t="inlineStr">
        <is>
          <t>EPIC gia cố độ bền Backend, bảo mật và chống phình to dữ liệu: ngăn ngừa tấn công command injection, dọn dẹp dữ liệu rác và kiểm soát tài nguyên.</t>
        </is>
      </c>
      <c r="I48" s="11" t="inlineStr">
        <is>
          <t>Hoàn thành</t>
        </is>
      </c>
      <c r="J48" s="22" t="n">
        <v>1</v>
      </c>
    </row>
    <row r="49" ht="28" customHeight="1">
      <c r="A49" s="19" t="n">
        <v>45</v>
      </c>
      <c r="B49" s="19" t="inlineStr">
        <is>
          <t>#68</t>
        </is>
      </c>
      <c r="C49" s="8" t="inlineStr">
        <is>
          <t>Bảo mật (Security)</t>
        </is>
      </c>
      <c r="D49" s="8" t="inlineStr">
        <is>
          <t>[SEC-02] Fix Command Injection Vulnerability in scripts/notify-mobile.mjs via Native Fetch</t>
        </is>
      </c>
      <c r="E49" s="19" t="inlineStr">
        <is>
          <t>Backend API</t>
        </is>
      </c>
      <c r="F49" s="19" t="inlineStr">
        <is>
          <t>tducn110 (Leader)</t>
        </is>
      </c>
      <c r="G49" s="8" t="inlineStr">
        <is>
          <t>bug, backend, security</t>
        </is>
      </c>
      <c r="H49" s="8" t="inlineStr">
        <is>
          <t>Khắc phục lỗ hổng Command Injection trong notify-mobile.mjs bằng cách loại bỏ lệnh child_process.exec(curl ...) và thay bằng hàm fetch() nguyên bản của Node.js.</t>
        </is>
      </c>
      <c r="I49" s="11" t="inlineStr">
        <is>
          <t>Hoàn thành</t>
        </is>
      </c>
      <c r="J49" s="10" t="n">
        <v>1</v>
      </c>
    </row>
    <row r="50" ht="28" customHeight="1">
      <c r="A50" s="20" t="n">
        <v>46</v>
      </c>
      <c r="B50" s="20" t="inlineStr">
        <is>
          <t>#69</t>
        </is>
      </c>
      <c r="C50" s="21" t="inlineStr">
        <is>
          <t>Backend API &amp; CSDL</t>
        </is>
      </c>
      <c r="D50" s="21" t="inlineStr">
        <is>
          <t>[DB-01] Implement Idempotency Request Key TTL Cleanup Routine (Prune api_requests)</t>
        </is>
      </c>
      <c r="E50" s="20" t="inlineStr">
        <is>
          <t>Backend API</t>
        </is>
      </c>
      <c r="F50" s="20" t="inlineStr">
        <is>
          <t>tducn110 (Leader)</t>
        </is>
      </c>
      <c r="G50" s="21" t="inlineStr">
        <is>
          <t>enhancement, backend</t>
        </is>
      </c>
      <c r="H50" s="21" t="inlineStr">
        <is>
          <t>Xây dựng routine định kỳ pruneExpiredIdempotencyKeys() tự động dọn dẹp các bản ghi khóa idempotent đã hết hạn trong bảng api_requests.</t>
        </is>
      </c>
      <c r="I50" s="11" t="inlineStr">
        <is>
          <t>Hoàn thành</t>
        </is>
      </c>
      <c r="J50" s="22" t="n">
        <v>1</v>
      </c>
    </row>
    <row r="51" ht="28" customHeight="1">
      <c r="A51" s="19" t="n">
        <v>47</v>
      </c>
      <c r="B51" s="19" t="inlineStr">
        <is>
          <t>#70</t>
        </is>
      </c>
      <c r="C51" s="8" t="inlineStr">
        <is>
          <t>Thị giác Máy tính (AI/OCR)</t>
        </is>
      </c>
      <c r="D51" s="8" t="inlineStr">
        <is>
          <t>[API-01] Move OCR Scan Service Healthcheck Outside Auth Boundary in apps/api/src/app.mjs</t>
        </is>
      </c>
      <c r="E51" s="19" t="inlineStr">
        <is>
          <t>Backend API</t>
        </is>
      </c>
      <c r="F51" s="19" t="inlineStr">
        <is>
          <t>tducn110 (Leader)</t>
        </is>
      </c>
      <c r="G51" s="8" t="inlineStr">
        <is>
          <t>bug, backend</t>
        </is>
      </c>
      <c r="H51" s="8" t="inlineStr">
        <is>
          <t>Chuyển route kiểm tra trạng thái của dịch vụ OCR (/health) ra ngoài ranh giới xác thực token, cho phép các hệ thống giám sát tải (Uptime Monitor) kiểm tra mà không cần tài khoản.</t>
        </is>
      </c>
      <c r="I51" s="11" t="inlineStr">
        <is>
          <t>Hoàn thành</t>
        </is>
      </c>
      <c r="J51" s="10" t="n">
        <v>1</v>
      </c>
    </row>
    <row r="52" ht="28" customHeight="1">
      <c r="A52" s="20" t="n">
        <v>48</v>
      </c>
      <c r="B52" s="20" t="inlineStr">
        <is>
          <t>#71</t>
        </is>
      </c>
      <c r="C52" s="21" t="inlineStr">
        <is>
          <t>EPIC / Khung Kế Hoạch</t>
        </is>
      </c>
      <c r="D52" s="21" t="inlineStr">
        <is>
          <t>[EPIC] Frontend Architecture, State Synchronization &amp; Network Resiliency</t>
        </is>
      </c>
      <c r="E52" s="20" t="inlineStr">
        <is>
          <t>Frontend Web</t>
        </is>
      </c>
      <c r="F52" s="20" t="inlineStr">
        <is>
          <t>tducn110 (Leader)</t>
        </is>
      </c>
      <c r="G52" s="21" t="inlineStr">
        <is>
          <t>enhancement, frontend</t>
        </is>
      </c>
      <c r="H52" s="21" t="inlineStr">
        <is>
          <t>EPIC kiến trúc Frontend, đồng bộ trạng thái và độ bền mạng: giải quyết dứt điểm các lỗi treo giao diện, cải thiện tìm kiếm và phân trang.</t>
        </is>
      </c>
      <c r="I52" s="11" t="inlineStr">
        <is>
          <t>Hoàn thành</t>
        </is>
      </c>
      <c r="J52" s="22" t="n">
        <v>1</v>
      </c>
    </row>
    <row r="53" ht="28" customHeight="1">
      <c r="A53" s="19" t="n">
        <v>49</v>
      </c>
      <c r="B53" s="19" t="inlineStr">
        <is>
          <t>#72</t>
        </is>
      </c>
      <c r="C53" s="8" t="inlineStr">
        <is>
          <t>Frontend Web App</t>
        </is>
      </c>
      <c r="D53" s="8" t="inlineStr">
        <is>
          <t>[FE-07] Eliminate Unbounded Client-Side allEntries() Loop in App.tsx &amp; Wire real.list Server Pagination</t>
        </is>
      </c>
      <c r="E53" s="19" t="inlineStr">
        <is>
          <t>Frontend Web</t>
        </is>
      </c>
      <c r="F53" s="19" t="inlineStr">
        <is>
          <t>tducn110 (Leader)</t>
        </is>
      </c>
      <c r="G53" s="8" t="inlineStr">
        <is>
          <t>bug, enhancement, frontend</t>
        </is>
      </c>
      <c r="H53" s="8" t="inlineStr">
        <is>
          <t>Xóa bỏ hoàn toàn vòng lặp while (hasMore) tải tất cả bản ghi allEntries() trong App.tsx; đấu nối API phân trang server thực thụ (real.list).</t>
        </is>
      </c>
      <c r="I53" s="11" t="inlineStr">
        <is>
          <t>Hoàn thành</t>
        </is>
      </c>
      <c r="J53" s="10" t="n">
        <v>1</v>
      </c>
    </row>
    <row r="54" ht="28" customHeight="1">
      <c r="A54" s="20" t="n">
        <v>50</v>
      </c>
      <c r="B54" s="20" t="inlineStr">
        <is>
          <t>#73</t>
        </is>
      </c>
      <c r="C54" s="21" t="inlineStr">
        <is>
          <t>Nghiệp vụ Kho (Domain)</t>
        </is>
      </c>
      <c r="D54" s="21" t="inlineStr">
        <is>
          <t>[FE-08] Add Debounce and Request Cancellation (AbortController) to Inventory Search Input</t>
        </is>
      </c>
      <c r="E54" s="20" t="inlineStr">
        <is>
          <t>Frontend Web</t>
        </is>
      </c>
      <c r="F54" s="20" t="inlineStr">
        <is>
          <t>tducn110 (Leader)</t>
        </is>
      </c>
      <c r="G54" s="21" t="inlineStr">
        <is>
          <t>bug, enhancement, frontend</t>
        </is>
      </c>
      <c r="H54" s="21" t="inlineStr">
        <is>
          <t>Thêm cơ chế Debounce 300ms và tự động hủy request cũ bằng AbortController cho thanh tìm kiếm kho; ngăn chặn tình trạng gửi hàng chục request liên tục khi gõ phím.</t>
        </is>
      </c>
      <c r="I54" s="11" t="inlineStr">
        <is>
          <t>Hoàn thành</t>
        </is>
      </c>
      <c r="J54" s="22" t="n">
        <v>1</v>
      </c>
    </row>
    <row r="55" ht="28" customHeight="1">
      <c r="A55" s="19" t="n">
        <v>51</v>
      </c>
      <c r="B55" s="19" t="inlineStr">
        <is>
          <t>#74</t>
        </is>
      </c>
      <c r="C55" s="8" t="inlineStr">
        <is>
          <t>Frontend Web App</t>
        </is>
      </c>
      <c r="D55" s="8" t="inlineStr">
        <is>
          <t>[FE-09] Surface Mutation Failures and Version Conflicts in Real API Mode (Fix Silent UI Freezes)</t>
        </is>
      </c>
      <c r="E55" s="19" t="inlineStr">
        <is>
          <t>Frontend Web</t>
        </is>
      </c>
      <c r="F55" s="19" t="inlineStr">
        <is>
          <t>tducn110 (Leader)</t>
        </is>
      </c>
      <c r="G55" s="8" t="inlineStr">
        <is>
          <t>bug, enhancement, frontend</t>
        </is>
      </c>
      <c r="H55" s="8" t="inlineStr">
        <is>
          <t>Bắt và hiển thị thông báo lỗi trực quan cho người dùng khi xảy ra xung đột phiên bản (HTTP 409 Conflict) hoặc lỗi server thay vì để giao diện bị treo im lặng.</t>
        </is>
      </c>
      <c r="I55" s="11" t="inlineStr">
        <is>
          <t>Hoàn thành</t>
        </is>
      </c>
      <c r="J55" s="10" t="n">
        <v>1</v>
      </c>
    </row>
    <row r="56" ht="28" customHeight="1">
      <c r="A56" s="20" t="n">
        <v>52</v>
      </c>
      <c r="B56" s="20" t="inlineStr">
        <is>
          <t>#75</t>
        </is>
      </c>
      <c r="C56" s="21" t="inlineStr">
        <is>
          <t>Frontend Web App</t>
        </is>
      </c>
      <c r="D56" s="21" t="inlineStr">
        <is>
          <t>[FE-10] Implement First-Class Mutation Methods on ApiClient with Request Typing</t>
        </is>
      </c>
      <c r="E56" s="20" t="inlineStr">
        <is>
          <t>Frontend Web</t>
        </is>
      </c>
      <c r="F56" s="20" t="inlineStr">
        <is>
          <t>kiet00394-collab</t>
        </is>
      </c>
      <c r="G56" s="21" t="inlineStr">
        <is>
          <t>enhancement, frontend</t>
        </is>
      </c>
      <c r="H56" s="21" t="inlineStr">
        <is>
          <t>Triển khai các phương thức đột biến dữ liệu có định kiểu mạnh (Strictly Typed Mutation Methods) trên lớp ApiClient (create, consume, discard, recount, restore).</t>
        </is>
      </c>
      <c r="I56" s="11" t="inlineStr">
        <is>
          <t>Hoàn thành</t>
        </is>
      </c>
      <c r="J56" s="22" t="n">
        <v>1</v>
      </c>
    </row>
    <row r="57" ht="28" customHeight="1">
      <c r="A57" s="19" t="n">
        <v>53</v>
      </c>
      <c r="B57" s="19" t="inlineStr">
        <is>
          <t>#76</t>
        </is>
      </c>
      <c r="C57" s="8" t="inlineStr">
        <is>
          <t>Nghiệp vụ Kho (Domain)</t>
        </is>
      </c>
      <c r="D57" s="8" t="inlineStr">
        <is>
          <t>[FE-11] Empty State Handling for Movement Timeline &amp; History Modal</t>
        </is>
      </c>
      <c r="E57" s="19" t="inlineStr">
        <is>
          <t>Frontend Web</t>
        </is>
      </c>
      <c r="F57" s="19" t="inlineStr">
        <is>
          <t>tducn110 (Leader)</t>
        </is>
      </c>
      <c r="G57" s="8" t="inlineStr">
        <is>
          <t>enhancement, frontend</t>
        </is>
      </c>
      <c r="H57" s="8" t="inlineStr">
        <is>
          <t>Thiết kế và bổ sung trạng thái rỗng (Empty State) chỉn chu cho dòng thời gian biến động và lịch sử thực phẩm khi món đồ chưa có biến động nào.</t>
        </is>
      </c>
      <c r="I57" s="11" t="inlineStr">
        <is>
          <t>Hoàn thành</t>
        </is>
      </c>
      <c r="J57" s="10" t="n">
        <v>1</v>
      </c>
    </row>
    <row r="58" ht="28" customHeight="1">
      <c r="A58" s="20" t="n">
        <v>54</v>
      </c>
      <c r="B58" s="20" t="inlineStr">
        <is>
          <t>#77</t>
        </is>
      </c>
      <c r="C58" s="21" t="inlineStr">
        <is>
          <t>EPIC / Khung Kế Hoạch</t>
        </is>
      </c>
      <c r="D58" s="21" t="inlineStr">
        <is>
          <t>[EPIC] Backend Concurrency, Domain Math &amp; Security Edge Cases</t>
        </is>
      </c>
      <c r="E58" s="20" t="inlineStr">
        <is>
          <t>Backend API</t>
        </is>
      </c>
      <c r="F58" s="20" t="inlineStr">
        <is>
          <t>tducn110 (Leader)</t>
        </is>
      </c>
      <c r="G58" s="21" t="inlineStr">
        <is>
          <t>bug, enhancement, backend, security</t>
        </is>
      </c>
      <c r="H58" s="21" t="inlineStr">
        <is>
          <t>EPIC bảo mật tương tranh, tính toán số học Domain và các trường hợp biên: bảo vệ độ chính xác dữ liệu số dư kho và phiên làm việc.</t>
        </is>
      </c>
      <c r="I58" s="11" t="inlineStr">
        <is>
          <t>Hoàn thành</t>
        </is>
      </c>
      <c r="J58" s="22" t="n">
        <v>1</v>
      </c>
    </row>
    <row r="59" ht="28" customHeight="1">
      <c r="A59" s="19" t="n">
        <v>55</v>
      </c>
      <c r="B59" s="19" t="inlineStr">
        <is>
          <t>#78</t>
        </is>
      </c>
      <c r="C59" s="8" t="inlineStr">
        <is>
          <t>DevOps &amp; Vận hành</t>
        </is>
      </c>
      <c r="D59" s="8" t="inlineStr">
        <is>
          <t>[CORE-02] Fix Broken Negative Number &amp; Fraction Formatting Bug in domain.mjs decimal() Helper</t>
        </is>
      </c>
      <c r="E59" s="19" t="inlineStr">
        <is>
          <t>Backend API</t>
        </is>
      </c>
      <c r="F59" s="19" t="inlineStr">
        <is>
          <t>tducn110 (Leader)</t>
        </is>
      </c>
      <c r="G59" s="8" t="inlineStr">
        <is>
          <t>bug, backend</t>
        </is>
      </c>
      <c r="H59" s="8" t="inlineStr">
        <is>
          <t>Vá lỗi định dạng số âm và phân số thập phân trong hàm tiện ích decimal() của domain.mjs; đảm bảo hiển thị chính xác các số lượng xuất kho dạng 0.5 hoặc -1.</t>
        </is>
      </c>
      <c r="I59" s="11" t="inlineStr">
        <is>
          <t>Hoàn thành</t>
        </is>
      </c>
      <c r="J59" s="10" t="n">
        <v>1</v>
      </c>
    </row>
    <row r="60" ht="28" customHeight="1">
      <c r="A60" s="20" t="n">
        <v>56</v>
      </c>
      <c r="B60" s="20" t="inlineStr">
        <is>
          <t>#79</t>
        </is>
      </c>
      <c r="C60" s="21" t="inlineStr">
        <is>
          <t>Nghiệp vụ Kho (Domain)</t>
        </is>
      </c>
      <c r="D60" s="21" t="inlineStr">
        <is>
          <t>[BE-09] Validate Movement and Recount Amounts Against Entry's Actual Unit in repository.mjs</t>
        </is>
      </c>
      <c r="E60" s="20" t="inlineStr">
        <is>
          <t>Backend API</t>
        </is>
      </c>
      <c r="F60" s="20" t="inlineStr">
        <is>
          <t>kiet00394-collab</t>
        </is>
      </c>
      <c r="G60" s="21" t="inlineStr">
        <is>
          <t>bug, backend</t>
        </is>
      </c>
      <c r="H60" s="21" t="inlineStr">
        <is>
          <t>Bổ sung kiểm tra hợp lệ đơn vị đo lường trong repository.mjs: ngăn chặn việc xuất kho hoặc kiểm kê với đơn vị không tương thích với đơn vị gốc của món đồ.</t>
        </is>
      </c>
      <c r="I60" s="11" t="inlineStr">
        <is>
          <t>Hoàn thành</t>
        </is>
      </c>
      <c r="J60" s="22" t="n">
        <v>1</v>
      </c>
    </row>
    <row r="61" ht="28" customHeight="1">
      <c r="A61" s="19" t="n">
        <v>57</v>
      </c>
      <c r="B61" s="19" t="inlineStr">
        <is>
          <t>#80</t>
        </is>
      </c>
      <c r="C61" s="8" t="inlineStr">
        <is>
          <t>Tối ưu Hiệu năng (Perf)</t>
        </is>
      </c>
      <c r="D61" s="8" t="inlineStr">
        <is>
          <t>[PERF-06] Throttle user_sessions last_seen_at UPDATE and Eliminate Sequential Row Lock Contention</t>
        </is>
      </c>
      <c r="E61" s="19" t="inlineStr">
        <is>
          <t>Backend API</t>
        </is>
      </c>
      <c r="F61" s="19" t="inlineStr">
        <is>
          <t>kiet00394-collab</t>
        </is>
      </c>
      <c r="G61" s="8" t="inlineStr">
        <is>
          <t>enhancement, backend</t>
        </is>
      </c>
      <c r="H61" s="8" t="inlineStr">
        <is>
          <t>Triển khai cơ chế Throttle cập nhật cột last_seen_at của phiên đăng nhập (chỉ cập nhật sau mỗi 5 phút); triệt tiêu nghẽn khóa hàng (Row Lock Contention) khi user thao tác liên tục.</t>
        </is>
      </c>
      <c r="I61" s="11" t="inlineStr">
        <is>
          <t>Hoàn thành</t>
        </is>
      </c>
      <c r="J61" s="10" t="n">
        <v>1</v>
      </c>
    </row>
    <row r="62" ht="28" customHeight="1">
      <c r="A62" s="20" t="n">
        <v>58</v>
      </c>
      <c r="B62" s="20" t="inlineStr">
        <is>
          <t>#81</t>
        </is>
      </c>
      <c r="C62" s="21" t="inlineStr">
        <is>
          <t>Bảo mật (Security)</t>
        </is>
      </c>
      <c r="D62" s="21" t="inlineStr">
        <is>
          <t>[SEC-04] Fix Clock Skew Vulnerability in Auth Session Validation (503 AUTH_UNAVAILABLE on Sub-second Drift)</t>
        </is>
      </c>
      <c r="E62" s="20" t="inlineStr">
        <is>
          <t>Backend API</t>
        </is>
      </c>
      <c r="F62" s="20" t="inlineStr">
        <is>
          <t>kiet00394-collab</t>
        </is>
      </c>
      <c r="G62" s="21" t="inlineStr">
        <is>
          <t>bug, backend, security</t>
        </is>
      </c>
      <c r="H62" s="21" t="inlineStr">
        <is>
          <t>Xử lý dung sai độ lệch đồng hồ (Clock Skew): cho phép sai lệch thời gian nhỏ (dưới vài giây) giữa server và client trong quá trình xác thực phiên, tránh lỗi 503 vô cớ.</t>
        </is>
      </c>
      <c r="I62" s="11" t="inlineStr">
        <is>
          <t>Hoàn thành</t>
        </is>
      </c>
      <c r="J62" s="22" t="n">
        <v>1</v>
      </c>
    </row>
    <row r="63" ht="28" customHeight="1">
      <c r="A63" s="19" t="n">
        <v>59</v>
      </c>
      <c r="B63" s="19" t="inlineStr">
        <is>
          <t>#82</t>
        </is>
      </c>
      <c r="C63" s="8" t="inlineStr">
        <is>
          <t>Bảo mật (Security)</t>
        </is>
      </c>
      <c r="D63" s="8" t="inlineStr">
        <is>
          <t>[SEC-05] Relax Overzealous Sec-Fetch-Site Check for Whitelisted Cross-Site Origins</t>
        </is>
      </c>
      <c r="E63" s="19" t="inlineStr">
        <is>
          <t>Backend API</t>
        </is>
      </c>
      <c r="F63" s="19" t="inlineStr">
        <is>
          <t>kiet00394-collab</t>
        </is>
      </c>
      <c r="G63" s="8" t="inlineStr">
        <is>
          <t>bug, backend, security</t>
        </is>
      </c>
      <c r="H63" s="8" t="inlineStr">
        <is>
          <t>Cấu hình nới lỏng kiểm tra header Sec-Fetch-Site cho các domain SPA đã được đưa vào danh sách trắng (whitelisted origins), hỗ trợ gọi API cross-site an toàn.</t>
        </is>
      </c>
      <c r="I63" s="11" t="inlineStr">
        <is>
          <t>Hoàn thành</t>
        </is>
      </c>
      <c r="J63" s="10" t="n">
        <v>1</v>
      </c>
    </row>
    <row r="64" ht="28" customHeight="1">
      <c r="A64" s="20" t="n">
        <v>60</v>
      </c>
      <c r="B64" s="20" t="inlineStr">
        <is>
          <t>#83</t>
        </is>
      </c>
      <c r="C64" s="21" t="inlineStr">
        <is>
          <t>EPIC / Khung Kế Hoạch</t>
        </is>
      </c>
      <c r="D64" s="21" t="inlineStr">
        <is>
          <t>[EPIC] OCR / Vision Microservice Hardening &amp; Mobile Camera UX</t>
        </is>
      </c>
      <c r="E64" s="20" t="inlineStr">
        <is>
          <t>Backend API</t>
        </is>
      </c>
      <c r="F64" s="20" t="inlineStr">
        <is>
          <t>tducn110 (Leader)</t>
        </is>
      </c>
      <c r="G64" s="21" t="inlineStr">
        <is>
          <t>enhancement, backend, frontend</t>
        </is>
      </c>
      <c r="H64" s="21" t="inlineStr">
        <is>
          <t>EPIC gia cố microservice thị giác máy tính OCR và trải nghiệm camera mobile: tối ưu hóa quá trình tải ảnh và tương thích định dạng.</t>
        </is>
      </c>
      <c r="I64" s="11" t="inlineStr">
        <is>
          <t>Hoàn thành</t>
        </is>
      </c>
      <c r="J64" s="22" t="n">
        <v>1</v>
      </c>
    </row>
    <row r="65" ht="28" customHeight="1">
      <c r="A65" s="19" t="n">
        <v>61</v>
      </c>
      <c r="B65" s="19" t="inlineStr">
        <is>
          <t>#84</t>
        </is>
      </c>
      <c r="C65" s="8" t="inlineStr">
        <is>
          <t>Thị giác Máy tính (AI/OCR)</t>
        </is>
      </c>
      <c r="D65" s="8" t="inlineStr">
        <is>
          <t>[AI-06] Normalize MIME Types (image/jpg) and Form Field Names in Python Scan Service</t>
        </is>
      </c>
      <c r="E65" s="19" t="inlineStr">
        <is>
          <t>Backend API</t>
        </is>
      </c>
      <c r="F65" s="19" t="inlineStr">
        <is>
          <t>kiet00394-collab</t>
        </is>
      </c>
      <c r="G65" s="8" t="inlineStr">
        <is>
          <t>bug, enhancement, backend</t>
        </is>
      </c>
      <c r="H65" s="8" t="inlineStr">
        <is>
          <t>Chuẩn hóa xử lý các biến thể MIME type (image/jpg, image/jpeg, image/pjpeg) và đồng bộ tên trường upload file giữa frontend và backend Python OCR.</t>
        </is>
      </c>
      <c r="I65" s="11" t="inlineStr">
        <is>
          <t>Hoàn thành</t>
        </is>
      </c>
      <c r="J65" s="10" t="n">
        <v>1</v>
      </c>
    </row>
    <row r="66" ht="28" customHeight="1">
      <c r="A66" s="20" t="n">
        <v>62</v>
      </c>
      <c r="B66" s="20" t="inlineStr">
        <is>
          <t>#85</t>
        </is>
      </c>
      <c r="C66" s="21" t="inlineStr">
        <is>
          <t>Thị giác Máy tính (AI/OCR)</t>
        </is>
      </c>
      <c r="D66" s="21" t="inlineStr">
        <is>
          <t>[AI-07] Add Client-Side Canvas Image Downscaling &amp; Direct Camera Capture in ScanForm.tsx</t>
        </is>
      </c>
      <c r="E66" s="20" t="inlineStr">
        <is>
          <t>Frontend Web</t>
        </is>
      </c>
      <c r="F66" s="20" t="inlineStr">
        <is>
          <t>kiet00394-collab</t>
        </is>
      </c>
      <c r="G66" s="21" t="inlineStr">
        <is>
          <t>enhancement, frontend</t>
        </is>
      </c>
      <c r="H66" s="21" t="inlineStr">
        <is>
          <t>Bổ sung chức năng tự động nén và hạ độ phân giải ảnh trên Canvas ở client trước khi tải lên; giảm dung lượng ảnh từ 5-10MB xuống dưới 500KB giúp tải cực nhanh trên mạng 4G.</t>
        </is>
      </c>
      <c r="I66" s="11" t="inlineStr">
        <is>
          <t>Hoàn thành</t>
        </is>
      </c>
      <c r="J66" s="22" t="n">
        <v>1</v>
      </c>
    </row>
    <row r="67" ht="28" customHeight="1">
      <c r="A67" s="19" t="n">
        <v>63</v>
      </c>
      <c r="B67" s="19" t="inlineStr">
        <is>
          <t>#86</t>
        </is>
      </c>
      <c r="C67" s="8" t="inlineStr">
        <is>
          <t>Nghiệp vụ Kho (Domain)</t>
        </is>
      </c>
      <c r="D67" s="8" t="inlineStr">
        <is>
          <t>[UX-02] Provide Visual Feedback or Allow No-Op Recounts in MovementForm.tsx</t>
        </is>
      </c>
      <c r="E67" s="19" t="inlineStr">
        <is>
          <t>Frontend Web</t>
        </is>
      </c>
      <c r="F67" s="19" t="inlineStr">
        <is>
          <t>kiet00394-collab</t>
        </is>
      </c>
      <c r="G67" s="8" t="inlineStr">
        <is>
          <t>enhancement, frontend</t>
        </is>
      </c>
      <c r="H67" s="8" t="inlineStr">
        <is>
          <t>Cung cấp phản hồi trực quan và cho phép xác nhận kiểm kê giữ nguyên số lượng (No-op recount) trong MovementForm.tsx kèm thông báo thành công rõ ràng.</t>
        </is>
      </c>
      <c r="I67" s="11" t="inlineStr">
        <is>
          <t>Hoàn thành</t>
        </is>
      </c>
      <c r="J67" s="10" t="n">
        <v>1</v>
      </c>
    </row>
    <row r="68" ht="28" customHeight="1">
      <c r="A68" s="20" t="n">
        <v>64</v>
      </c>
      <c r="B68" s="20" t="inlineStr">
        <is>
          <t>#87</t>
        </is>
      </c>
      <c r="C68" s="21" t="inlineStr">
        <is>
          <t>EPIC / Khung Kế Hoạch</t>
        </is>
      </c>
      <c r="D68" s="21" t="inlineStr">
        <is>
          <t>[EPIC] Cryptographic Security, Core Runtime Resilience &amp; Production DB Constraints</t>
        </is>
      </c>
      <c r="E68" s="20" t="inlineStr">
        <is>
          <t>Backend API</t>
        </is>
      </c>
      <c r="F68" s="20" t="inlineStr">
        <is>
          <t>tducn110 (Leader)</t>
        </is>
      </c>
      <c r="G68" s="21" t="inlineStr">
        <is>
          <t>bug, enhancement, backend, security</t>
        </is>
      </c>
      <c r="H68" s="21" t="inlineStr">
        <is>
          <t>EPIC bảo mật mật mã học, độ bền runtime và ràng buộc CSDL Production: chống DoS CPU, xử lý ngắt kết nối an toàn và toàn vẹn dữ liệu.</t>
        </is>
      </c>
      <c r="I68" s="11" t="inlineStr">
        <is>
          <t>Hoàn thành</t>
        </is>
      </c>
      <c r="J68" s="22" t="n">
        <v>1</v>
      </c>
    </row>
    <row r="69" ht="28" customHeight="1">
      <c r="A69" s="19" t="n">
        <v>65</v>
      </c>
      <c r="B69" s="19" t="inlineStr">
        <is>
          <t>#88</t>
        </is>
      </c>
      <c r="C69" s="8" t="inlineStr">
        <is>
          <t>Bảo mật (Security)</t>
        </is>
      </c>
      <c r="D69" s="8" t="inlineStr">
        <is>
          <t>[SEC-06] Fix Global Auth Denial of Service from Unbuffered Scrypt Concurrency Cap</t>
        </is>
      </c>
      <c r="E69" s="19" t="inlineStr">
        <is>
          <t>Backend API</t>
        </is>
      </c>
      <c r="F69" s="19" t="inlineStr">
        <is>
          <t>kiet00394-collab</t>
        </is>
      </c>
      <c r="G69" s="8" t="inlineStr">
        <is>
          <t>bug, backend, security</t>
        </is>
      </c>
      <c r="H69" s="8" t="inlineStr">
        <is>
          <t>Khắc phục lỗ hổng DoS băm mật khẩu Scrypt bằng cách áp dụng hàng đợi giới hạn tải (Concurrency Cap); trả về mã Retry-After khi server đang quá tải tính toán.</t>
        </is>
      </c>
      <c r="I69" s="11" t="inlineStr">
        <is>
          <t>Hoàn thành</t>
        </is>
      </c>
      <c r="J69" s="10" t="n">
        <v>1</v>
      </c>
    </row>
    <row r="70" ht="28" customHeight="1">
      <c r="A70" s="20" t="n">
        <v>66</v>
      </c>
      <c r="B70" s="20" t="inlineStr">
        <is>
          <t>#89</t>
        </is>
      </c>
      <c r="C70" s="21" t="inlineStr">
        <is>
          <t>Backend API &amp; CSDL</t>
        </is>
      </c>
      <c r="D70" s="21" t="inlineStr">
        <is>
          <t>[DB-02] Fix Database Check Constraint Violation on Session Expiry Boundary (last_seen_at &lt;= expires_at)</t>
        </is>
      </c>
      <c r="E70" s="20" t="inlineStr">
        <is>
          <t>Backend API</t>
        </is>
      </c>
      <c r="F70" s="20" t="inlineStr">
        <is>
          <t>kiet00394-collab</t>
        </is>
      </c>
      <c r="G70" s="21" t="inlineStr">
        <is>
          <t>bug, backend</t>
        </is>
      </c>
      <c r="H70" s="21" t="inlineStr">
        <is>
          <t>Khắc phục lỗi vi phạm Check Constraint trong MySQL (last_seen_at &lt;= expires_at) khi phiên đăng nhập chạm ngưỡng hết hạn tuyệt đối.</t>
        </is>
      </c>
      <c r="I70" s="11" t="inlineStr">
        <is>
          <t>Hoàn thành</t>
        </is>
      </c>
      <c r="J70" s="22" t="n">
        <v>1</v>
      </c>
    </row>
    <row r="71" ht="28" customHeight="1">
      <c r="A71" s="19" t="n">
        <v>67</v>
      </c>
      <c r="B71" s="19" t="inlineStr">
        <is>
          <t>#90</t>
        </is>
      </c>
      <c r="C71" s="8" t="inlineStr">
        <is>
          <t>Tối ưu Hiệu năng (Perf)</t>
        </is>
      </c>
      <c r="D71" s="8" t="inlineStr">
        <is>
          <t>[PERF-07] Eliminate Redundant Per-Connection SET SESSION time_zone Roundtrip in connection.mjs</t>
        </is>
      </c>
      <c r="E71" s="19" t="inlineStr">
        <is>
          <t>Backend API</t>
        </is>
      </c>
      <c r="F71" s="19" t="inlineStr">
        <is>
          <t>kiet00394-collab</t>
        </is>
      </c>
      <c r="G71" s="8" t="inlineStr">
        <is>
          <t>enhancement, backend</t>
        </is>
      </c>
      <c r="H71" s="8" t="inlineStr">
        <is>
          <t>Triệt tiêu câu lệnh SET SESSION time_zone thừa thãi trên từng kết nối pool trong connection.mjs; tiết kiệm 1 vòng truyền nhận mạng (network roundtrip) cho mỗi truy vấn.</t>
        </is>
      </c>
      <c r="I71" s="11" t="inlineStr">
        <is>
          <t>Hoàn thành</t>
        </is>
      </c>
      <c r="J71" s="10" t="n">
        <v>1</v>
      </c>
    </row>
    <row r="72" ht="28" customHeight="1">
      <c r="A72" s="20" t="n">
        <v>68</v>
      </c>
      <c r="B72" s="20" t="inlineStr">
        <is>
          <t>#91</t>
        </is>
      </c>
      <c r="C72" s="21" t="inlineStr">
        <is>
          <t>DevOps &amp; Vận hành</t>
        </is>
      </c>
      <c r="D72" s="21" t="inlineStr">
        <is>
          <t>[OPS-04] Implement Graceful Shutdown Timeout and Close Idle Keep-Alive Connections in server.mjs</t>
        </is>
      </c>
      <c r="E72" s="20" t="inlineStr">
        <is>
          <t>Backend API</t>
        </is>
      </c>
      <c r="F72" s="20" t="inlineStr">
        <is>
          <t>kiet00394-collab</t>
        </is>
      </c>
      <c r="G72" s="21" t="inlineStr">
        <is>
          <t>enhancement, backend</t>
        </is>
      </c>
      <c r="H72" s="21" t="inlineStr">
        <is>
          <t>Triển khai cơ chế Graceful Server Shutdown trong server.mjs: lắng nghe tín hiệu SIGTERM/SIGINT, ngừng nhận request mới, chờ hoàn thành request hiện tại và đóng sạch pool kết nối.</t>
        </is>
      </c>
      <c r="I72" s="11" t="inlineStr">
        <is>
          <t>Hoàn thành</t>
        </is>
      </c>
      <c r="J72" s="22" t="n">
        <v>1</v>
      </c>
    </row>
    <row r="73" ht="28" customHeight="1">
      <c r="A73" s="19" t="n">
        <v>69</v>
      </c>
      <c r="B73" s="19" t="inlineStr">
        <is>
          <t>#92</t>
        </is>
      </c>
      <c r="C73" s="8" t="inlineStr">
        <is>
          <t>DevOps &amp; Vận hành</t>
        </is>
      </c>
      <c r="D73" s="8" t="inlineStr">
        <is>
          <t>[OPS-05] Decouple Database Migration Scripts from Local Docker Exec for External/Cloud MySQL</t>
        </is>
      </c>
      <c r="E73" s="19" t="inlineStr">
        <is>
          <t>Backend API</t>
        </is>
      </c>
      <c r="F73" s="19" t="inlineStr">
        <is>
          <t>tducn110 (Leader)</t>
        </is>
      </c>
      <c r="G73" s="8" t="inlineStr">
        <is>
          <t>enhancement, backend</t>
        </is>
      </c>
      <c r="H73" s="8" t="inlineStr">
        <is>
          <t>Tách biệt hoàn toàn các file script migration CSDL khỏi lệnh docker exec cục bộ, cho phép chạy migration trực tiếp trên các dịch vụ MySQL Cloud (AWS RDS, PlanetScale).</t>
        </is>
      </c>
      <c r="I73" s="11" t="inlineStr">
        <is>
          <t>Hoàn thành</t>
        </is>
      </c>
      <c r="J73" s="10" t="n">
        <v>1</v>
      </c>
    </row>
    <row r="74" ht="28" customHeight="1">
      <c r="A74" s="20" t="n">
        <v>70</v>
      </c>
      <c r="B74" s="20" t="inlineStr">
        <is>
          <t>#93</t>
        </is>
      </c>
      <c r="C74" s="21" t="inlineStr">
        <is>
          <t>EPIC / Khung Kế Hoạch</t>
        </is>
      </c>
      <c r="D74" s="21" t="inlineStr">
        <is>
          <t>[EPIC] Multilingual OCR Parsing, Cross-Platform Date Formatting &amp; A11y Standards</t>
        </is>
      </c>
      <c r="E74" s="20" t="inlineStr">
        <is>
          <t>Frontend Web</t>
        </is>
      </c>
      <c r="F74" s="20" t="inlineStr">
        <is>
          <t>tducn110 (Leader)</t>
        </is>
      </c>
      <c r="G74" s="21" t="inlineStr">
        <is>
          <t>bug, accessibility, enhancement, frontend</t>
        </is>
      </c>
      <c r="H74" s="21" t="inlineStr">
        <is>
          <t>EPIC bóc tách OCR đa ngôn ngữ, chuẩn hóa ngày tháng đa nền tảng và chuẩn trợ năng: đảm bảo app chạy mượt mà trên Safari và nhận diện tốt tiếng Việt.</t>
        </is>
      </c>
      <c r="I74" s="11" t="inlineStr">
        <is>
          <t>Hoàn thành</t>
        </is>
      </c>
      <c r="J74" s="22" t="n">
        <v>1</v>
      </c>
    </row>
    <row r="75" ht="28" customHeight="1">
      <c r="A75" s="19" t="n">
        <v>71</v>
      </c>
      <c r="B75" s="19" t="inlineStr">
        <is>
          <t>#94</t>
        </is>
      </c>
      <c r="C75" s="8" t="inlineStr">
        <is>
          <t>Thị giác Máy tính (AI/OCR)</t>
        </is>
      </c>
      <c r="D75" s="8" t="inlineStr">
        <is>
          <t>[AI-08] Fix Vietnamese Month Parsing Truncation Bug in Python OCR date_parser.py</t>
        </is>
      </c>
      <c r="E75" s="19" t="inlineStr">
        <is>
          <t>Backend API</t>
        </is>
      </c>
      <c r="F75" s="19" t="inlineStr">
        <is>
          <t>kiet00394-collab</t>
        </is>
      </c>
      <c r="G75" s="8" t="inlineStr">
        <is>
          <t>bug, backend</t>
        </is>
      </c>
      <c r="H75" s="8" t="inlineStr">
        <is>
          <t>Vá lỗi cắt chuỗi khi nhận diện tên tháng bằng chữ trong tiếng Việt (tháng 1 đến tháng 12) trong file date_parser.py của dịch vụ Python OCR.</t>
        </is>
      </c>
      <c r="I75" s="11" t="inlineStr">
        <is>
          <t>Hoàn thành</t>
        </is>
      </c>
      <c r="J75" s="10" t="n">
        <v>1</v>
      </c>
    </row>
    <row r="76" ht="28" customHeight="1">
      <c r="A76" s="20" t="n">
        <v>72</v>
      </c>
      <c r="B76" s="20" t="inlineStr">
        <is>
          <t>#95</t>
        </is>
      </c>
      <c r="C76" s="21" t="inlineStr">
        <is>
          <t>Frontend Web App</t>
        </is>
      </c>
      <c r="D76" s="21" t="inlineStr">
        <is>
          <t>[FE-12] Prevent Safari RangeError Crash and Normalize SQL Datetime Parsing in format.ts</t>
        </is>
      </c>
      <c r="E76" s="20" t="inlineStr">
        <is>
          <t>Frontend Web</t>
        </is>
      </c>
      <c r="F76" s="20" t="inlineStr">
        <is>
          <t>kiet00394-collab</t>
        </is>
      </c>
      <c r="G76" s="21" t="inlineStr">
        <is>
          <t>bug, frontend</t>
        </is>
      </c>
      <c r="H76" s="21" t="inlineStr">
        <is>
          <t>Chuẩn hóa hàm parse ngày tháng SQL trong format.ts; ngăn chặn triệt để lỗi sập ứng dụng RangeError: Invalid time value trên trình duyệt Safari iOS.</t>
        </is>
      </c>
      <c r="I76" s="11" t="inlineStr">
        <is>
          <t>Hoàn thành</t>
        </is>
      </c>
      <c r="J76" s="22" t="n">
        <v>1</v>
      </c>
    </row>
    <row r="77" ht="28" customHeight="1">
      <c r="A77" s="19" t="n">
        <v>73</v>
      </c>
      <c r="B77" s="19" t="inlineStr">
        <is>
          <t>#96</t>
        </is>
      </c>
      <c r="C77" s="8" t="inlineStr">
        <is>
          <t>Backend API &amp; CSDL</t>
        </is>
      </c>
      <c r="D77" s="8" t="inlineStr">
        <is>
          <t>[FE-13] Align Expiry Date Source Enum Across Frontend Types and Backend Schema</t>
        </is>
      </c>
      <c r="E77" s="19" t="inlineStr">
        <is>
          <t>Backend API</t>
        </is>
      </c>
      <c r="F77" s="19" t="inlineStr">
        <is>
          <t>kiet00394-collab</t>
        </is>
      </c>
      <c r="G77" s="8" t="inlineStr">
        <is>
          <t>enhancement, backend, frontend</t>
        </is>
      </c>
      <c r="H77" s="8" t="inlineStr">
        <is>
          <t>Đồng bộ enum nguồn gốc hạn sử dụng (ExpiryDateSource: OCR, BARCODE, MANUAL) giữa định nghĩa TypeScript ở Frontend và schema bảng MySQL.</t>
        </is>
      </c>
      <c r="I77" s="11" t="inlineStr">
        <is>
          <t>Hoàn thành</t>
        </is>
      </c>
      <c r="J77" s="10" t="n">
        <v>1</v>
      </c>
    </row>
    <row r="78" ht="28" customHeight="1">
      <c r="A78" s="20" t="n">
        <v>74</v>
      </c>
      <c r="B78" s="20" t="inlineStr">
        <is>
          <t>#97</t>
        </is>
      </c>
      <c r="C78" s="21" t="inlineStr">
        <is>
          <t>Giao diện &amp; Trợ năng (UI/A11y)</t>
        </is>
      </c>
      <c r="D78" s="21" t="inlineStr">
        <is>
          <t>[A11Y-02] Fix Keyboard Inaccessibility (tabIndex -1) on Password Visibility Toggle in AuthForm</t>
        </is>
      </c>
      <c r="E78" s="20" t="inlineStr">
        <is>
          <t>Frontend Web</t>
        </is>
      </c>
      <c r="F78" s="20" t="inlineStr">
        <is>
          <t>kiet00394-collab</t>
        </is>
      </c>
      <c r="G78" s="21" t="inlineStr">
        <is>
          <t>accessibility, enhancement, frontend</t>
        </is>
      </c>
      <c r="H78" s="21" t="inlineStr">
        <is>
          <t>Khắc phục lỗi trợ năng phím (tabIndex -1) trên nút ẩn/hiện mật khẩu trong AuthForm, cho phép người dùng khiếm thị dùng phím Tab và Space/Enter để kích hoạt.</t>
        </is>
      </c>
      <c r="I78" s="11" t="inlineStr">
        <is>
          <t>Hoàn thành</t>
        </is>
      </c>
      <c r="J78" s="22" t="n">
        <v>1</v>
      </c>
    </row>
    <row r="79" ht="28" customHeight="1">
      <c r="A79" s="19" t="n">
        <v>75</v>
      </c>
      <c r="B79" s="19" t="inlineStr">
        <is>
          <t>#98</t>
        </is>
      </c>
      <c r="C79" s="8" t="inlineStr">
        <is>
          <t>EPIC / Khung Kế Hoạch</t>
        </is>
      </c>
      <c r="D79" s="8" t="inlineStr">
        <is>
          <t>[EPIC] Ponytail Codebase Simplification: YAGNI, Platform Native &amp; Bloat Reduction</t>
        </is>
      </c>
      <c r="E79" s="19" t="inlineStr">
        <is>
          <t>Backend API</t>
        </is>
      </c>
      <c r="F79" s="19" t="inlineStr">
        <is>
          <t>UncleYelloow</t>
        </is>
      </c>
      <c r="G79" s="8" t="inlineStr">
        <is>
          <t>enhancement, backend, frontend</t>
        </is>
      </c>
      <c r="H79" s="8" t="inlineStr">
        <is>
          <t>EPIC tinh giản mã nguồn theo chuẩn Ponytail: loại bỏ mã nguồn over-engineering, ưu tiên sử dụng tính năng nguyên bản của nền tảng (Platform Native) và cắt giảm nợ kỹ thuật.</t>
        </is>
      </c>
      <c r="I79" s="11" t="inlineStr">
        <is>
          <t>Hoàn thành</t>
        </is>
      </c>
      <c r="J79" s="10" t="n">
        <v>1</v>
      </c>
    </row>
    <row r="80" ht="28" customHeight="1">
      <c r="A80" s="20" t="n">
        <v>76</v>
      </c>
      <c r="B80" s="20" t="inlineStr">
        <is>
          <t>#99</t>
        </is>
      </c>
      <c r="C80" s="21" t="inlineStr">
        <is>
          <t>Tinh giản Mã nguồn (Ponytail)</t>
        </is>
      </c>
      <c r="D80" s="21" t="inlineStr">
        <is>
          <t>[PONY-01] Replace 708-Line Over-Engineered DatePicker with Native input type=date / Platform Popover</t>
        </is>
      </c>
      <c r="E80" s="20" t="inlineStr">
        <is>
          <t>Frontend Web</t>
        </is>
      </c>
      <c r="F80" s="20" t="inlineStr">
        <is>
          <t>tducn110 (Leader)</t>
        </is>
      </c>
      <c r="G80" s="21" t="inlineStr">
        <is>
          <t>enhancement, frontend</t>
        </is>
      </c>
      <c r="H80" s="21" t="inlineStr">
        <is>
          <t>Xóa bỏ component DatePicker tự chế cồng kềnh 708 dòng mã; thay thế bằng thẻ native &lt;input type='date'&gt; vừa nhẹ, vừa tự động hiển thị lịch chuẩn của iOS và Android.</t>
        </is>
      </c>
      <c r="I80" s="11" t="inlineStr">
        <is>
          <t>Hoàn thành</t>
        </is>
      </c>
      <c r="J80" s="22" t="n">
        <v>1</v>
      </c>
    </row>
    <row r="81" ht="28" customHeight="1">
      <c r="A81" s="19" t="n">
        <v>77</v>
      </c>
      <c r="B81" s="19" t="inlineStr">
        <is>
          <t>#100</t>
        </is>
      </c>
      <c r="C81" s="8" t="inlineStr">
        <is>
          <t>Tinh giản Mã nguồn (Ponytail)</t>
        </is>
      </c>
      <c r="D81" s="8" t="inlineStr">
        <is>
          <t>[PONY-02] Replace 365-Line Custom Portal Select Combobox with Native HTML select Element</t>
        </is>
      </c>
      <c r="E81" s="19" t="inlineStr">
        <is>
          <t>Frontend Web</t>
        </is>
      </c>
      <c r="F81" s="19" t="inlineStr">
        <is>
          <t>tducn110 (Leader)</t>
        </is>
      </c>
      <c r="G81" s="8" t="inlineStr">
        <is>
          <t>enhancement, frontend</t>
        </is>
      </c>
      <c r="H81" s="8" t="inlineStr">
        <is>
          <t>Xóa bỏ component Portal Select phức tạp 365 dòng mã; thay thế bằng thẻ native HTML &lt;select&gt; mượt mà, tối ưu hóa cho thao tác chạm cảm ứng.</t>
        </is>
      </c>
      <c r="I81" s="11" t="inlineStr">
        <is>
          <t>Hoàn thành</t>
        </is>
      </c>
      <c r="J81" s="10" t="n">
        <v>1</v>
      </c>
    </row>
    <row r="82" ht="28" customHeight="1">
      <c r="A82" s="20" t="n">
        <v>78</v>
      </c>
      <c r="B82" s="20" t="inlineStr">
        <is>
          <t>#101</t>
        </is>
      </c>
      <c r="C82" s="21" t="inlineStr">
        <is>
          <t>Tinh giản Mã nguồn (Ponytail)</t>
        </is>
      </c>
      <c r="D82" s="21" t="inlineStr">
        <is>
          <t>[PONY-03] Delete 35-Line ScrollbarAutohide.tsx Global Scroll Event Interceptor</t>
        </is>
      </c>
      <c r="E82" s="20" t="inlineStr">
        <is>
          <t>Frontend Web</t>
        </is>
      </c>
      <c r="F82" s="20" t="inlineStr">
        <is>
          <t>tducn110 (Leader)</t>
        </is>
      </c>
      <c r="G82" s="21" t="inlineStr">
        <is>
          <t>enhancement, frontend</t>
        </is>
      </c>
      <c r="H82" s="21" t="inlineStr">
        <is>
          <t>Xóa bỏ file ScrollbarAutohide.tsx (35 dòng) can thiệp vào sự kiện cuộn trang toàn cục; sử dụng thanh cuộn overlay tự nhiên của hệ điều hành.</t>
        </is>
      </c>
      <c r="I82" s="11" t="inlineStr">
        <is>
          <t>Hoàn thành</t>
        </is>
      </c>
      <c r="J82" s="22" t="n">
        <v>1</v>
      </c>
    </row>
    <row r="83" ht="28" customHeight="1">
      <c r="A83" s="19" t="n">
        <v>79</v>
      </c>
      <c r="B83" s="19" t="inlineStr">
        <is>
          <t>#102</t>
        </is>
      </c>
      <c r="C83" s="8" t="inlineStr">
        <is>
          <t>Tinh giản Mã nguồn (Ponytail)</t>
        </is>
      </c>
      <c r="D83" s="8" t="inlineStr">
        <is>
          <t>[PONY-04] Consolidate Dual-Mode isDemo State in App.tsx via Polymorphic ApiClient (500+ Lines Cut)</t>
        </is>
      </c>
      <c r="E83" s="19" t="inlineStr">
        <is>
          <t>Frontend Web</t>
        </is>
      </c>
      <c r="F83" s="19" t="inlineStr">
        <is>
          <t>UncleYelloow</t>
        </is>
      </c>
      <c r="G83" s="8" t="inlineStr">
        <is>
          <t>enhancement, frontend</t>
        </is>
      </c>
      <c r="H83" s="8" t="inlineStr">
        <is>
          <t>Hợp nhất hoàn toàn trạng thái phân nhánh isDemo trong App.tsx bằng cách áp dụng mẫu thiết kế Polymorphic ApiClient, cắt giảm hơn 500 dòng code trùng lặp.</t>
        </is>
      </c>
      <c r="I83" s="11" t="inlineStr">
        <is>
          <t>Hoàn thành</t>
        </is>
      </c>
      <c r="J83" s="10" t="n">
        <v>1</v>
      </c>
    </row>
    <row r="84" ht="28" customHeight="1">
      <c r="A84" s="20" t="n">
        <v>80</v>
      </c>
      <c r="B84" s="20" t="inlineStr">
        <is>
          <t>#103</t>
        </is>
      </c>
      <c r="C84" s="21" t="inlineStr">
        <is>
          <t>Tinh giản Mã nguồn (Ponytail)</t>
        </is>
      </c>
      <c r="D84" s="21" t="inlineStr">
        <is>
          <t>[PONY-05] Replace Handcrafted loadEnv() File Parsing with Native Node.js Environment Loading</t>
        </is>
      </c>
      <c r="E84" s="20" t="inlineStr">
        <is>
          <t>Backend API</t>
        </is>
      </c>
      <c r="F84" s="20" t="inlineStr">
        <is>
          <t>tducn110 (Leader)</t>
        </is>
      </c>
      <c r="G84" s="21" t="inlineStr">
        <is>
          <t>enhancement, backend</t>
        </is>
      </c>
      <c r="H84" s="21" t="inlineStr">
        <is>
          <t>Thay thế hàm tự viết loadEnv() phức tạp bằng tính năng nạp biến môi trường nguyên bản có sẵn của Node.js (cờ --env-file hoặc process.loadEnvFile()).</t>
        </is>
      </c>
      <c r="I84" s="11" t="inlineStr">
        <is>
          <t>Hoàn thành</t>
        </is>
      </c>
      <c r="J84" s="22" t="n">
        <v>1</v>
      </c>
    </row>
    <row r="85">
      <c r="A85" s="33" t="n">
        <v>81</v>
      </c>
      <c r="B85" s="33" t="inlineStr">
        <is>
          <t>#164</t>
        </is>
      </c>
      <c r="C85" s="34" t="inlineStr">
        <is>
          <t>CSDL &amp; Backend API</t>
        </is>
      </c>
      <c r="D85" s="32" t="inlineStr">
        <is>
          <t>[DB-03] Execute Migration 005_add_category on MySQL and Add Category Filter to /food-entries API</t>
        </is>
      </c>
      <c r="E85" s="34" t="inlineStr">
        <is>
          <t>Backend API</t>
        </is>
      </c>
      <c r="F85" s="35" t="inlineStr">
        <is>
          <t>kiet00394-collab</t>
        </is>
      </c>
      <c r="G85" s="34" t="inlineStr">
        <is>
          <t>enhancement, backend</t>
        </is>
      </c>
      <c r="H85" s="32" t="inlineStr">
        <is>
          <t>Thực thi migration 005 bổ sung cột category có ràng buộc CHECK constraint 7 nhóm thực phẩm và cập nhật bộ lọc category cho endpoint GET /food-entries API.</t>
        </is>
      </c>
      <c r="I85" s="33" t="inlineStr">
        <is>
          <t>Hoàn thành</t>
        </is>
      </c>
      <c r="J85" s="36" t="n">
        <v>1</v>
      </c>
    </row>
    <row r="86">
      <c r="A86" s="33" t="n">
        <v>82</v>
      </c>
      <c r="B86" s="33" t="inlineStr">
        <is>
          <t>#165</t>
        </is>
      </c>
      <c r="C86" s="34" t="inlineStr">
        <is>
          <t>Frontend &amp; Điều phối</t>
        </is>
      </c>
      <c r="D86" s="32" t="inlineStr">
        <is>
          <t>[FE-14] Wire Session Coordinator and API Live Mode into Storage &amp; Insight Views</t>
        </is>
      </c>
      <c r="E86" s="34" t="inlineStr">
        <is>
          <t>Frontend Web</t>
        </is>
      </c>
      <c r="F86" s="35" t="inlineStr">
        <is>
          <t>kiet00394-collab</t>
        </is>
      </c>
      <c r="G86" s="34" t="inlineStr">
        <is>
          <t>enhancement, frontend</t>
        </is>
      </c>
      <c r="H86" s="32" t="inlineStr">
        <is>
          <t>Đấu nối Session Coordinator và cờ useDemo/live mode vào màn hình Nơi lưu trữ (StorageView) và Insight (InsightView) để truy vấn trực tiếp CSDL MySQL.</t>
        </is>
      </c>
      <c r="I86" s="33" t="inlineStr">
        <is>
          <t>Hoàn thành</t>
        </is>
      </c>
      <c r="J86" s="36" t="n">
        <v>1</v>
      </c>
    </row>
    <row r="87">
      <c r="A87" s="33" t="n">
        <v>83</v>
      </c>
      <c r="B87" s="33" t="inlineStr">
        <is>
          <t>#166</t>
        </is>
      </c>
      <c r="C87" s="34" t="inlineStr">
        <is>
          <t>Frontend &amp; Điều hướng</t>
        </is>
      </c>
      <c r="D87" s="32" t="inlineStr">
        <is>
          <t>[FE-15] Synchronize Browser History &amp; Deep Linking for Storage and Insight Views</t>
        </is>
      </c>
      <c r="E87" s="34" t="inlineStr">
        <is>
          <t>Frontend Web</t>
        </is>
      </c>
      <c r="F87" s="35" t="inlineStr">
        <is>
          <t>kiet00394-collab</t>
        </is>
      </c>
      <c r="G87" s="34" t="inlineStr">
        <is>
          <t>enhancement, frontend</t>
        </is>
      </c>
      <c r="H87" s="32" t="inlineStr">
        <is>
          <t>Đồng bộ URL hash/history (pushState/replaceState) cho các màn hình Storage và Insight, hỗ trợ thao tác back/forward mượt mà trên trình duyệt.</t>
        </is>
      </c>
      <c r="I87" s="33" t="inlineStr">
        <is>
          <t>Hoàn thành</t>
        </is>
      </c>
      <c r="J87" s="36" t="n">
        <v>1</v>
      </c>
    </row>
    <row r="88">
      <c r="A88" s="33" t="n">
        <v>84</v>
      </c>
      <c r="B88" s="33" t="inlineStr">
        <is>
          <t>#167</t>
        </is>
      </c>
      <c r="C88" s="34" t="inlineStr">
        <is>
          <t>AI &amp; Quét Barcode</t>
        </is>
      </c>
      <c r="D88" s="32" t="inlineStr">
        <is>
          <t>[SCAN-02] Align Barcode and OCR Scan Flow with publicScanResult Contract</t>
        </is>
      </c>
      <c r="E88" s="34" t="inlineStr">
        <is>
          <t>AI OCR / Scanner</t>
        </is>
      </c>
      <c r="F88" s="35" t="inlineStr">
        <is>
          <t>kiet00394-collab</t>
        </is>
      </c>
      <c r="G88" s="34" t="inlineStr">
        <is>
          <t>enhancement, backend, frontend</t>
        </is>
      </c>
      <c r="H88" s="32" t="inlineStr">
        <is>
          <t>Chuẩn hóa luồng quét mã vạch và nhận diện OCR theo đúng đặc tả hợp đồng dữ liệu publicScanResult giữa frontend và backend API.</t>
        </is>
      </c>
      <c r="I88" s="33" t="inlineStr">
        <is>
          <t>Hoàn thành</t>
        </is>
      </c>
      <c r="J88" s="36" t="n">
        <v>1</v>
      </c>
    </row>
    <row r="89">
      <c r="A89" s="33" t="n">
        <v>85</v>
      </c>
      <c r="B89" s="33" t="inlineStr">
        <is>
          <t>#168</t>
        </is>
      </c>
      <c r="C89" s="34" t="inlineStr">
        <is>
          <t>Tối ưu Hiệu năng</t>
        </is>
      </c>
      <c r="D89" s="32" t="inlineStr">
        <is>
          <t>[PERF-08] Push LIMIT and OFFSET Pagination into SQL Query for Stock Movement History</t>
        </is>
      </c>
      <c r="E89" s="34" t="inlineStr">
        <is>
          <t>Backend API</t>
        </is>
      </c>
      <c r="F89" s="35" t="inlineStr">
        <is>
          <t>kiet00394-collab</t>
        </is>
      </c>
      <c r="G89" s="34" t="inlineStr">
        <is>
          <t>enhancement, backend</t>
        </is>
      </c>
      <c r="H89" s="32" t="inlineStr">
        <is>
          <t>Đẩy tham số phân trang LIMIT và OFFSET trực tiếp xuống câu lệnh SQL truy vấn MySQL thay vì cắt mảng trên bộ nhớ ứng dụng.</t>
        </is>
      </c>
      <c r="I89" s="33" t="inlineStr">
        <is>
          <t>Hoàn thành</t>
        </is>
      </c>
      <c r="J89" s="36" t="n">
        <v>1</v>
      </c>
    </row>
    <row r="90">
      <c r="A90" s="33" t="n">
        <v>86</v>
      </c>
      <c r="B90" s="33" t="inlineStr">
        <is>
          <t>#169</t>
        </is>
      </c>
      <c r="C90" s="34" t="inlineStr">
        <is>
          <t>Hạ tầng Build &amp; Tooling</t>
        </is>
      </c>
      <c r="D90" s="32" t="inlineStr">
        <is>
          <t>[BUILD-01] Resolve Vite 8 Configuration Deprecation Warnings</t>
        </is>
      </c>
      <c r="E90" s="34" t="inlineStr">
        <is>
          <t>DevOps / Tooling</t>
        </is>
      </c>
      <c r="F90" s="35" t="inlineStr">
        <is>
          <t>kiet00394-collab</t>
        </is>
      </c>
      <c r="G90" s="34" t="inlineStr">
        <is>
          <t>enhancement, frontend</t>
        </is>
      </c>
      <c r="H90" s="32" t="inlineStr">
        <is>
          <t>Cập nhật cấu hình vite.config.ts loại bỏ các cảnh báo không tương thích (deprecation warnings) trong phiên bản Vite 8.</t>
        </is>
      </c>
      <c r="I90" s="33" t="inlineStr">
        <is>
          <t>Hoàn thành</t>
        </is>
      </c>
      <c r="J90" s="36" t="n">
        <v>1</v>
      </c>
    </row>
    <row r="91">
      <c r="A91" s="33" t="n">
        <v>87</v>
      </c>
      <c r="B91" s="33" t="inlineStr">
        <is>
          <t>#170</t>
        </is>
      </c>
      <c r="C91" s="34" t="inlineStr">
        <is>
          <t>Thị giác AI &amp; Bảo mật</t>
        </is>
      </c>
      <c r="D91" s="32" t="inlineStr">
        <is>
          <t>[BUG-01] Python Scan OCR Service Health Route Accessible Without Credentials</t>
        </is>
      </c>
      <c r="E91" s="34" t="inlineStr">
        <is>
          <t>Backend API / AI</t>
        </is>
      </c>
      <c r="F91" s="35" t="inlineStr">
        <is>
          <t>UncleYelloow</t>
        </is>
      </c>
      <c r="G91" s="34" t="inlineStr">
        <is>
          <t>bug, backend</t>
        </is>
      </c>
      <c r="H91" s="32" t="inlineStr">
        <is>
          <t>Loại bỏ route scan healthcheck trùng lặp và mở public endpoint kiểm tra sức khỏe dịch vụ OCR không đòi hỏi token xác thực.</t>
        </is>
      </c>
      <c r="I91" s="33" t="inlineStr">
        <is>
          <t>Hoàn thành</t>
        </is>
      </c>
      <c r="J91" s="36" t="n">
        <v>1</v>
      </c>
    </row>
    <row r="92">
      <c r="A92" s="33" t="n">
        <v>88</v>
      </c>
      <c r="B92" s="33" t="inlineStr">
        <is>
          <t>#171</t>
        </is>
      </c>
      <c r="C92" s="34" t="inlineStr">
        <is>
          <t>CSDL &amp; Tính Toàn Vẹn</t>
        </is>
      </c>
      <c r="D92" s="32" t="inlineStr">
        <is>
          <t>[BUG-02] Resolve Migration Checksum Drift in manage.mjs and Ledger Invariant Mismatch in expiry_dev</t>
        </is>
      </c>
      <c r="E92" s="34" t="inlineStr">
        <is>
          <t>CSDL MySQL</t>
        </is>
      </c>
      <c r="F92" s="35" t="inlineStr">
        <is>
          <t>UncleYelloow</t>
        </is>
      </c>
      <c r="G92" s="34" t="inlineStr">
        <is>
          <t>bug, backend</t>
        </is>
      </c>
      <c r="H92" s="32" t="inlineStr">
        <is>
          <t>Khắc phục sai lệch mã băm checksum trong manage.mjs và sửa lỗi bất biến số dư sổ cái kho ledger trong database expiry_dev.</t>
        </is>
      </c>
      <c r="I92" s="33" t="inlineStr">
        <is>
          <t>Hoàn thành</t>
        </is>
      </c>
      <c r="J92" s="36" t="n">
        <v>1</v>
      </c>
    </row>
    <row r="93">
      <c r="A93" s="33" t="n">
        <v>89</v>
      </c>
      <c r="B93" s="33" t="inlineStr">
        <is>
          <t>#181</t>
        </is>
      </c>
      <c r="C93" s="34" t="inlineStr">
        <is>
          <t>Bảo mật &amp; Xác thực</t>
        </is>
      </c>
      <c r="D93" s="32" t="inlineStr">
        <is>
          <t>[BUG-03] Frontend AuthForm does not call backend auth API endpoints</t>
        </is>
      </c>
      <c r="E93" s="34" t="inlineStr">
        <is>
          <t>Frontend / Auth</t>
        </is>
      </c>
      <c r="F93" s="35" t="inlineStr">
        <is>
          <t>UncleYelloow</t>
        </is>
      </c>
      <c r="G93" s="34" t="inlineStr">
        <is>
          <t>bug, frontend, security</t>
        </is>
      </c>
      <c r="H93" s="32" t="inlineStr">
        <is>
          <t>Đấu nối form đăng nhập/đăng ký AuthForm trực tiếp vào các endpoint API backend (/api/auth/login, /api/auth/register, /api/auth/me).</t>
        </is>
      </c>
      <c r="I93" s="33" t="inlineStr">
        <is>
          <t>Hoàn thành</t>
        </is>
      </c>
      <c r="J93" s="36" t="n">
        <v>1</v>
      </c>
    </row>
    <row r="94">
      <c r="A94" s="33" t="n">
        <v>90</v>
      </c>
      <c r="B94" s="33" t="inlineStr">
        <is>
          <t>#182</t>
        </is>
      </c>
      <c r="C94" s="34" t="inlineStr">
        <is>
          <t>Frontend &amp; Kho hàng</t>
        </is>
      </c>
      <c r="D94" s="32" t="inlineStr">
        <is>
          <t>[BUG-04] App.tsx draft submission does not persist food entries to MySQL API</t>
        </is>
      </c>
      <c r="E94" s="34" t="inlineStr">
        <is>
          <t>Frontend Web</t>
        </is>
      </c>
      <c r="F94" s="35" t="inlineStr">
        <is>
          <t>UncleYelloow</t>
        </is>
      </c>
      <c r="G94" s="34" t="inlineStr">
        <is>
          <t>bug, backend, frontend</t>
        </is>
      </c>
      <c r="H94" s="32" t="inlineStr">
        <is>
          <t>Kết nối hàm lưu nháp handleSaveDraft trong App.tsx vào API backend để lưu thực phẩm vào CSDL MySQL khi chạy chế độ Live.</t>
        </is>
      </c>
      <c r="I94" s="33" t="inlineStr">
        <is>
          <t>Hoàn thành</t>
        </is>
      </c>
      <c r="J94" s="36" t="n">
        <v>1</v>
      </c>
    </row>
    <row r="95">
      <c r="A95" s="33" t="n">
        <v>91</v>
      </c>
      <c r="B95" s="33" t="inlineStr">
        <is>
          <t>#183</t>
        </is>
      </c>
      <c r="C95" s="34" t="inlineStr">
        <is>
          <t>Quản lý Kho &amp; Sổ cái</t>
        </is>
      </c>
      <c r="D95" s="32" t="inlineStr">
        <is>
          <t>[BUG-05] Detail view stock movements bypass database movement ledger</t>
        </is>
      </c>
      <c r="E95" s="34" t="inlineStr">
        <is>
          <t>Frontend Web</t>
        </is>
      </c>
      <c r="F95" s="35" t="inlineStr">
        <is>
          <t>UncleYelloow</t>
        </is>
      </c>
      <c r="G95" s="34" t="inlineStr">
        <is>
          <t>bug, backend, frontend</t>
        </is>
      </c>
      <c r="H95" s="32" t="inlineStr">
        <is>
          <t>Đấu nối các thao tác dùng, bỏ và kiểm kê số lượng trong Detail.tsx vào backend API thay vì chỉ lưu tạm trên frontend state.</t>
        </is>
      </c>
      <c r="I95" s="33" t="inlineStr">
        <is>
          <t>Hoàn thành</t>
        </is>
      </c>
      <c r="J95" s="36" t="n">
        <v>1</v>
      </c>
    </row>
    <row r="96">
      <c r="A96" s="33" t="n">
        <v>92</v>
      </c>
      <c r="B96" s="33" t="inlineStr">
        <is>
          <t>#184</t>
        </is>
      </c>
      <c r="C96" s="34" t="inlineStr">
        <is>
          <t>Thị giác AI &amp; Camera</t>
        </is>
      </c>
      <c r="D96" s="32" t="inlineStr">
        <is>
          <t>[BUG-06] Camera Scanner uses hardcoded timeout mock instead of calling Python Scan OCR Service</t>
        </is>
      </c>
      <c r="E96" s="34" t="inlineStr">
        <is>
          <t>Frontend / AI</t>
        </is>
      </c>
      <c r="F96" s="35" t="inlineStr">
        <is>
          <t>UncleYelloow</t>
        </is>
      </c>
      <c r="G96" s="34" t="inlineStr">
        <is>
          <t>bug, backend, frontend</t>
        </is>
      </c>
      <c r="H96" s="32" t="inlineStr">
        <is>
          <t>Thay thế mock timer bằng cuộc gọi API multipart upload thực tế tới dịch vụ Python OCR để nhận diện hạn sử dụng từ ảnh camera.</t>
        </is>
      </c>
      <c r="I96" s="33" t="inlineStr">
        <is>
          <t>Hoàn thành</t>
        </is>
      </c>
      <c r="J96" s="36" t="n">
        <v>1</v>
      </c>
    </row>
    <row r="97">
      <c r="A97" s="33" t="n">
        <v>93</v>
      </c>
      <c r="B97" s="33" t="inlineStr">
        <is>
          <t>#186</t>
        </is>
      </c>
      <c r="C97" s="34" t="inlineStr">
        <is>
          <t>Vòng đời Thùng rác</t>
        </is>
      </c>
      <c r="D97" s="32" t="inlineStr">
        <is>
          <t>[BUG-07] Trash lifecycle soft-delete and restore actions bypass backend API</t>
        </is>
      </c>
      <c r="E97" s="34" t="inlineStr">
        <is>
          <t>Frontend Web</t>
        </is>
      </c>
      <c r="F97" s="35" t="inlineStr">
        <is>
          <t>UncleYelloow</t>
        </is>
      </c>
      <c r="G97" s="34" t="inlineStr">
        <is>
          <t>bug, backend, frontend</t>
        </is>
      </c>
      <c r="H97" s="32" t="inlineStr">
        <is>
          <t>Kết nối thao tác xóa mềm vào thùng rác và khôi phục món ăn trong Trash.tsx vào backend API MySQL (/api/food-entries/:id/trash, /restore).</t>
        </is>
      </c>
      <c r="I97" s="33" t="inlineStr">
        <is>
          <t>Hoàn thành</t>
        </is>
      </c>
      <c r="J97" s="36" t="n">
        <v>1</v>
      </c>
    </row>
    <row r="98">
      <c r="A98" s="37" t="inlineStr">
        <is>
          <t>TỔNG</t>
        </is>
      </c>
      <c r="B98" s="37">
        <f>COUNTA(B5:B97)</f>
        <v/>
      </c>
      <c r="C98" s="37" t="inlineStr">
        <is>
          <t>15 EPICs + 78 Tasks &amp; Bugs</t>
        </is>
      </c>
      <c r="D98" s="37" t="inlineStr">
        <is>
          <t>Toàn bộ 93 Issues đã đóng</t>
        </is>
      </c>
      <c r="E98" s="38" t="n"/>
      <c r="F98" s="38" t="n"/>
      <c r="G98" s="38" t="n"/>
      <c r="H98" s="37" t="inlineStr">
        <is>
          <t>100% mục tiêu kỹ thuật đã hoàn thành và kiểm chứng</t>
        </is>
      </c>
      <c r="I98" s="37">
        <f>COUNTIF(I5:I97, "Hoàn thành")</f>
        <v/>
      </c>
      <c r="J98" s="39">
        <f>COUNTIF(I5:I97, "Hoàn thành")/COUNTA(B5:B97)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5"/>
  <sheetViews>
    <sheetView showGridLines="1" workbookViewId="0">
      <selection activeCell="A1" sqref="A1"/>
    </sheetView>
  </sheetViews>
  <sheetFormatPr baseColWidth="8" defaultRowHeight="15"/>
  <cols>
    <col width="6" customWidth="1" min="1" max="1"/>
    <col width="12" customWidth="1" min="2" max="2"/>
    <col width="38" customWidth="1" min="3" max="3"/>
    <col width="22" customWidth="1" min="4" max="4"/>
    <col width="28" customWidth="1" min="5" max="5"/>
    <col width="14" customWidth="1" min="6" max="6"/>
    <col width="16" customWidth="1" min="7" max="7"/>
    <col width="60" customWidth="1" min="8" max="8"/>
    <col width="14" customWidth="1" min="9" max="9"/>
    <col width="14" customWidth="1" min="10" max="10"/>
  </cols>
  <sheetData>
    <row r="1">
      <c r="A1" s="1" t="inlineStr">
        <is>
          <t>DANH SÁCH 80 PULL REQUESTS ĐÃ MERGE VÀO NHÁNH DEVELOP</t>
        </is>
      </c>
    </row>
    <row r="2">
      <c r="A2" s="2" t="inlineStr">
        <is>
          <t>Tất cả 80 PRs đều vượt qua kiểm tra chất lượng CI/CD tự động trước khi merge vào develop | Cập nhật: 31/10/2026</t>
        </is>
      </c>
    </row>
    <row r="4" ht="26" customHeight="1">
      <c r="A4" s="25" t="inlineStr">
        <is>
          <t>STT</t>
        </is>
      </c>
      <c r="B4" s="25" t="inlineStr">
        <is>
          <t>Số PR</t>
        </is>
      </c>
      <c r="C4" s="25" t="inlineStr">
        <is>
          <t>Tiêu Đề Pull Request</t>
        </is>
      </c>
      <c r="D4" s="25" t="inlineStr">
        <is>
          <t>Tác Giả</t>
        </is>
      </c>
      <c r="E4" s="25" t="inlineStr">
        <is>
          <t>Nhánh Nguồn (Head)</t>
        </is>
      </c>
      <c r="F4" s="25" t="inlineStr">
        <is>
          <t>Ngày Merge (UTC)</t>
        </is>
      </c>
      <c r="G4" s="25" t="inlineStr">
        <is>
          <t>Mã Issue Giải Quyết</t>
        </is>
      </c>
      <c r="H4" s="25" t="inlineStr">
        <is>
          <t>Nội Dung Kỹ Thuật &amp; Đóng Góp Chi Tiết</t>
        </is>
      </c>
      <c r="I4" s="25" t="inlineStr">
        <is>
          <t>Trạng Thái</t>
        </is>
      </c>
      <c r="J4" s="25" t="inlineStr">
        <is>
          <t>Tiến Độ (%)</t>
        </is>
      </c>
    </row>
    <row r="5" ht="26" customHeight="1">
      <c r="A5" s="19" t="n">
        <v>1</v>
      </c>
      <c r="B5" s="19" t="inlineStr">
        <is>
          <t>#2</t>
        </is>
      </c>
      <c r="C5" s="8" t="inlineStr">
        <is>
          <t>feat(api): bind scan upload handler, auth module, and sub-issues context</t>
        </is>
      </c>
      <c r="D5" s="19" t="inlineStr">
        <is>
          <t>tducn110 (Leader)</t>
        </is>
      </c>
      <c r="E5" s="8" t="inlineStr">
        <is>
          <t>feature/i1a-scan-route</t>
        </is>
      </c>
      <c r="F5" s="19" t="inlineStr">
        <is>
          <t>2026-10-11</t>
        </is>
      </c>
      <c r="G5" s="19" t="inlineStr">
        <is>
          <t>-</t>
        </is>
      </c>
      <c r="H5" s="8" t="inlineStr">
        <is>
          <t xml:space="preserve">feat(api): bind scan upload handler, auth module, and sub-issues context: Tóm tắt thay đổi - Sửa handler upload trong ScanController trỏ tới scan để tránh crash route /scans. - Đưa toàn bộ test suite API (npm run test:api) đạt 19 passed, 0 failed. - Cập </t>
        </is>
      </c>
      <c r="I5" s="11" t="inlineStr">
        <is>
          <t>Hoàn thành</t>
        </is>
      </c>
      <c r="J5" s="10" t="n">
        <v>1</v>
      </c>
    </row>
    <row r="6" ht="26" customHeight="1">
      <c r="A6" s="20" t="n">
        <v>2</v>
      </c>
      <c r="B6" s="20" t="inlineStr">
        <is>
          <t>#3</t>
        </is>
      </c>
      <c r="C6" s="21" t="inlineStr">
        <is>
          <t>chore(config): allow demoexpiry.vercel.app and expiry.vercel.app origins</t>
        </is>
      </c>
      <c r="D6" s="20" t="inlineStr">
        <is>
          <t>tducn110 (Leader)</t>
        </is>
      </c>
      <c r="E6" s="21" t="inlineStr">
        <is>
          <t>feature/config-vercel-domains</t>
        </is>
      </c>
      <c r="F6" s="20" t="inlineStr">
        <is>
          <t>2026-10-11</t>
        </is>
      </c>
      <c r="G6" s="20" t="inlineStr">
        <is>
          <t>-</t>
        </is>
      </c>
      <c r="H6" s="21" t="inlineStr">
        <is>
          <t xml:space="preserve">chore(config): allow demoexpiry.vercel.app and expiry.vercel.app origins: Tóm tắt thay đổi - Bổ sung https://demoexpiry.vercel.app (Preview URL cho nhánh develop) và https://expiry.vercel.app (Production URL cho nhánh main) vào danh sách allowed origins </t>
        </is>
      </c>
      <c r="I6" s="11" t="inlineStr">
        <is>
          <t>Hoàn thành</t>
        </is>
      </c>
      <c r="J6" s="22" t="n">
        <v>1</v>
      </c>
    </row>
    <row r="7" ht="26" customHeight="1">
      <c r="A7" s="19" t="n">
        <v>3</v>
      </c>
      <c r="B7" s="19" t="inlineStr">
        <is>
          <t>#4</t>
        </is>
      </c>
      <c r="C7" s="8" t="inlineStr">
        <is>
          <t>chore(config): add expiryapp.vercel.app to allowed origins</t>
        </is>
      </c>
      <c r="D7" s="19" t="inlineStr">
        <is>
          <t>tducn110 (Leader)</t>
        </is>
      </c>
      <c r="E7" s="8" t="inlineStr">
        <is>
          <t>feature/update-origins-and-context</t>
        </is>
      </c>
      <c r="F7" s="19" t="inlineStr">
        <is>
          <t>2026-10-11</t>
        </is>
      </c>
      <c r="G7" s="19" t="inlineStr">
        <is>
          <t>-</t>
        </is>
      </c>
      <c r="H7" s="8" t="inlineStr">
        <is>
          <t>chore(config): add expiryapp.vercel.app to allowed origins</t>
        </is>
      </c>
      <c r="I7" s="11" t="inlineStr">
        <is>
          <t>Hoàn thành</t>
        </is>
      </c>
      <c r="J7" s="10" t="n">
        <v>1</v>
      </c>
    </row>
    <row r="8" ht="26" customHeight="1">
      <c r="A8" s="20" t="n">
        <v>4</v>
      </c>
      <c r="B8" s="20" t="inlineStr">
        <is>
          <t>#5</t>
        </is>
      </c>
      <c r="C8" s="21" t="inlineStr">
        <is>
          <t>docs: record comprehensive session report at repository root</t>
        </is>
      </c>
      <c r="D8" s="20" t="inlineStr">
        <is>
          <t>tducn110 (Leader)</t>
        </is>
      </c>
      <c r="E8" s="21" t="inlineStr">
        <is>
          <t>feature/session-report</t>
        </is>
      </c>
      <c r="F8" s="20" t="inlineStr">
        <is>
          <t>2026-10-11</t>
        </is>
      </c>
      <c r="G8" s="20" t="inlineStr">
        <is>
          <t>-</t>
        </is>
      </c>
      <c r="H8" s="21" t="inlineStr">
        <is>
          <t>docs: record comprehensive session report at repository root</t>
        </is>
      </c>
      <c r="I8" s="11" t="inlineStr">
        <is>
          <t>Hoàn thành</t>
        </is>
      </c>
      <c r="J8" s="22" t="n">
        <v>1</v>
      </c>
    </row>
    <row r="9" ht="26" customHeight="1">
      <c r="A9" s="19" t="n">
        <v>5</v>
      </c>
      <c r="B9" s="19" t="inlineStr">
        <is>
          <t>#8</t>
        </is>
      </c>
      <c r="C9" s="8" t="inlineStr">
        <is>
          <t>feat(network): configure vercel reverse proxy to cloudflare tunnel backend</t>
        </is>
      </c>
      <c r="D9" s="19" t="inlineStr">
        <is>
          <t>tducn110 (Leader)</t>
        </is>
      </c>
      <c r="E9" s="8" t="inlineStr">
        <is>
          <t>feature/configure-vercel-reverse-proxy</t>
        </is>
      </c>
      <c r="F9" s="19" t="inlineStr">
        <is>
          <t>2026-10-14</t>
        </is>
      </c>
      <c r="G9" s="19" t="inlineStr">
        <is>
          <t>-</t>
        </is>
      </c>
      <c r="H9" s="8" t="inlineStr">
        <is>
          <t>feat(network): configure vercel reverse proxy to cloudflare tunnel backend: Cấu hình Vercel Reverse Proxy trỏ về Cloudflare Tunnel backend (https://bathrooms-boost-breaking-atlas.trycloudflare.com) và thêm công cụ cập nhật tunnel.</t>
        </is>
      </c>
      <c r="I9" s="11" t="inlineStr">
        <is>
          <t>Hoàn thành</t>
        </is>
      </c>
      <c r="J9" s="10" t="n">
        <v>1</v>
      </c>
    </row>
    <row r="10" ht="26" customHeight="1">
      <c r="A10" s="20" t="n">
        <v>6</v>
      </c>
      <c r="B10" s="20" t="inlineStr">
        <is>
          <t>#9</t>
        </is>
      </c>
      <c r="C10" s="21" t="inlineStr">
        <is>
          <t>feat(schema): reconcile MySQL data model, forms UX, contracts, and architecture documentation</t>
        </is>
      </c>
      <c r="D10" s="20" t="inlineStr">
        <is>
          <t>tducn110 (Leader)</t>
        </is>
      </c>
      <c r="E10" s="21" t="inlineStr">
        <is>
          <t>feature/schema-forms-reconciliation</t>
        </is>
      </c>
      <c r="F10" s="20" t="inlineStr">
        <is>
          <t>2026-10-14</t>
        </is>
      </c>
      <c r="G10" s="20" t="inlineStr">
        <is>
          <t>-</t>
        </is>
      </c>
      <c r="H10" s="21" t="inlineStr">
        <is>
          <t>feat(schema): reconcile MySQL data model, forms UX, contracts, and architecture documentation</t>
        </is>
      </c>
      <c r="I10" s="11" t="inlineStr">
        <is>
          <t>Hoàn thành</t>
        </is>
      </c>
      <c r="J10" s="22" t="n">
        <v>1</v>
      </c>
    </row>
    <row r="11" ht="26" customHeight="1">
      <c r="A11" s="19" t="n">
        <v>7</v>
      </c>
      <c r="B11" s="19" t="inlineStr">
        <is>
          <t>#11</t>
        </is>
      </c>
      <c r="C11" s="8" t="inlineStr">
        <is>
          <t>feat(scan): integrate DateReg YOLO and CTC OCR pipeline into scan service</t>
        </is>
      </c>
      <c r="D11" s="19" t="inlineStr">
        <is>
          <t>tducn110 (Leader)</t>
        </is>
      </c>
      <c r="E11" s="8" t="inlineStr">
        <is>
          <t>feature/datereg-scan-service</t>
        </is>
      </c>
      <c r="F11" s="19" t="inlineStr">
        <is>
          <t>2026-10-14</t>
        </is>
      </c>
      <c r="G11" s="19" t="inlineStr">
        <is>
          <t>-</t>
        </is>
      </c>
      <c r="H11" s="8" t="inlineStr">
        <is>
          <t>feat(scan): integrate DateReg YOLO and CTC OCR pipeline into scan service</t>
        </is>
      </c>
      <c r="I11" s="11" t="inlineStr">
        <is>
          <t>Hoàn thành</t>
        </is>
      </c>
      <c r="J11" s="10" t="n">
        <v>1</v>
      </c>
    </row>
    <row r="12" ht="26" customHeight="1">
      <c r="A12" s="20" t="n">
        <v>8</v>
      </c>
      <c r="B12" s="20" t="inlineStr">
        <is>
          <t>#12</t>
        </is>
      </c>
      <c r="C12" s="21" t="inlineStr">
        <is>
          <t>fix(ci): fix TypeScript types, oxfmt formatting, and CI/CD workflow</t>
        </is>
      </c>
      <c r="D12" s="20" t="inlineStr">
        <is>
          <t>tducn110 (Leader)</t>
        </is>
      </c>
      <c r="E12" s="21" t="inlineStr">
        <is>
          <t>fix/ci-cd-quality-gates</t>
        </is>
      </c>
      <c r="F12" s="20" t="inlineStr">
        <is>
          <t>2026-10-14</t>
        </is>
      </c>
      <c r="G12" s="20" t="inlineStr">
        <is>
          <t>-</t>
        </is>
      </c>
      <c r="H12" s="21" t="inlineStr">
        <is>
          <t>fix(ci): fix TypeScript types, oxfmt formatting, and CI/CD workflow: Fixes all failing checks on GitHub Actions: TypeScript TS1005 errors, oxfmt format compliance, pnpm in build-web, dynamic MySQL test imports, and dbops module resolution.</t>
        </is>
      </c>
      <c r="I12" s="11" t="inlineStr">
        <is>
          <t>Hoàn thành</t>
        </is>
      </c>
      <c r="J12" s="22" t="n">
        <v>1</v>
      </c>
    </row>
    <row r="13" ht="26" customHeight="1">
      <c r="A13" s="19" t="n">
        <v>9</v>
      </c>
      <c r="B13" s="19" t="inlineStr">
        <is>
          <t>#13</t>
        </is>
      </c>
      <c r="C13" s="8" t="inlineStr">
        <is>
          <t>refactor: extract TUI control center to standalone directory</t>
        </is>
      </c>
      <c r="D13" s="19" t="inlineStr">
        <is>
          <t>tducn110 (Leader)</t>
        </is>
      </c>
      <c r="E13" s="8" t="inlineStr">
        <is>
          <t>refactor/extract-tui</t>
        </is>
      </c>
      <c r="F13" s="19" t="inlineStr">
        <is>
          <t>2026-10-14</t>
        </is>
      </c>
      <c r="G13" s="19" t="inlineStr">
        <is>
          <t>-</t>
        </is>
      </c>
      <c r="H13" s="8" t="inlineStr">
        <is>
          <t>refactor: extract TUI control center to standalone directory: Summary - Extracted Rust-based TUI control center out of the main monorepo to standalone directory /home/tducn/data/expiry-tui. - Cleaned up tools/expiry-tui, root symlink expiry-t</t>
        </is>
      </c>
      <c r="I13" s="11" t="inlineStr">
        <is>
          <t>Hoàn thành</t>
        </is>
      </c>
      <c r="J13" s="10" t="n">
        <v>1</v>
      </c>
    </row>
    <row r="14" ht="26" customHeight="1">
      <c r="A14" s="20" t="n">
        <v>10</v>
      </c>
      <c r="B14" s="20" t="inlineStr">
        <is>
          <t>#14</t>
        </is>
      </c>
      <c r="C14" s="21" t="inlineStr">
        <is>
          <t>fix(ci): wait for mysql readiness and add connection retry in test-dbops</t>
        </is>
      </c>
      <c r="D14" s="20" t="inlineStr">
        <is>
          <t>tducn110 (Leader)</t>
        </is>
      </c>
      <c r="E14" s="21" t="inlineStr">
        <is>
          <t>fix/ci-dbops-race-condition</t>
        </is>
      </c>
      <c r="F14" s="20" t="inlineStr">
        <is>
          <t>2026-10-14</t>
        </is>
      </c>
      <c r="G14" s="20" t="inlineStr">
        <is>
          <t>-</t>
        </is>
      </c>
      <c r="H14" s="21" t="inlineStr">
        <is>
          <t>fix(ci): wait for mysql readiness and add connection retry in test-dbops: Summary - Fixed flaky timing race condition in CI where test-dbops.mjs ran while MySQL was still in temporary initialization restart phase (Connection lost: The server closed the c</t>
        </is>
      </c>
      <c r="I14" s="11" t="inlineStr">
        <is>
          <t>Hoàn thành</t>
        </is>
      </c>
      <c r="J14" s="22" t="n">
        <v>1</v>
      </c>
    </row>
    <row r="15" ht="26" customHeight="1">
      <c r="A15" s="19" t="n">
        <v>11</v>
      </c>
      <c r="B15" s="19" t="inlineStr">
        <is>
          <t>#15</t>
        </is>
      </c>
      <c r="C15" s="8" t="inlineStr">
        <is>
          <t>test(ci): add live image scan extraction assertion to E2E behavioral suite</t>
        </is>
      </c>
      <c r="D15" s="19" t="inlineStr">
        <is>
          <t>tducn110 (Leader)</t>
        </is>
      </c>
      <c r="E15" s="8" t="inlineStr">
        <is>
          <t>test/verify-scan-bridge-e2e</t>
        </is>
      </c>
      <c r="F15" s="19" t="inlineStr">
        <is>
          <t>2026-10-14</t>
        </is>
      </c>
      <c r="G15" s="19" t="inlineStr">
        <is>
          <t>-</t>
        </is>
      </c>
      <c r="H15" s="8" t="inlineStr">
        <is>
          <t>test(ci): add live image scan extraction assertion to E2E behavioral suite: Summary - Extends Stage 11 of scripts/test-behavior-contract.mjs to verify both /api/v1/scan/health and live image OCR extraction via POST /api/v1/scans. - Validates end-to-end sch</t>
        </is>
      </c>
      <c r="I15" s="11" t="inlineStr">
        <is>
          <t>Hoàn thành</t>
        </is>
      </c>
      <c r="J15" s="10" t="n">
        <v>1</v>
      </c>
    </row>
    <row r="16" ht="26" customHeight="1">
      <c r="A16" s="20" t="n">
        <v>12</v>
      </c>
      <c r="B16" s="20" t="inlineStr">
        <is>
          <t>#16</t>
        </is>
      </c>
      <c r="C16" s="21" t="inlineStr">
        <is>
          <t>test(ui): add unit test coverage for scanToEntryDraft adapter</t>
        </is>
      </c>
      <c r="D16" s="20" t="inlineStr">
        <is>
          <t>tducn110 (Leader)</t>
        </is>
      </c>
      <c r="E16" s="21" t="inlineStr">
        <is>
          <t>test/scanner-ui-adapter-tests</t>
        </is>
      </c>
      <c r="F16" s="20" t="inlineStr">
        <is>
          <t>2026-10-14</t>
        </is>
      </c>
      <c r="G16" s="20" t="inlineStr">
        <is>
          <t>-</t>
        </is>
      </c>
      <c r="H16" s="21" t="inlineStr">
        <is>
          <t>test(ui): add unit test coverage for scanToEntryDraft adapter: Summary - Adds 3 comprehensive test cases in Vitest for scanToEntryDraft adapter in apps/web/tests/ui-components.test.ts. - Verifies exact package label mapping, ambiguous user-est</t>
        </is>
      </c>
      <c r="I16" s="11" t="inlineStr">
        <is>
          <t>Hoàn thành</t>
        </is>
      </c>
      <c r="J16" s="22" t="n">
        <v>1</v>
      </c>
    </row>
    <row r="17" ht="26" customHeight="1">
      <c r="A17" s="19" t="n">
        <v>13</v>
      </c>
      <c r="B17" s="19" t="inlineStr">
        <is>
          <t>#17</t>
        </is>
      </c>
      <c r="C17" s="8" t="inlineStr">
        <is>
          <t>chore: add Figma screen automation scripts</t>
        </is>
      </c>
      <c r="D17" s="19" t="inlineStr">
        <is>
          <t>tducn110 (Leader)</t>
        </is>
      </c>
      <c r="E17" s="8" t="inlineStr">
        <is>
          <t>codex/upload-figma-scripts</t>
        </is>
      </c>
      <c r="F17" s="19" t="inlineStr">
        <is>
          <t>2026-10-15</t>
        </is>
      </c>
      <c r="G17" s="19" t="inlineStr">
        <is>
          <t>-</t>
        </is>
      </c>
      <c r="H17" s="8" t="inlineStr">
        <is>
          <t>chore: add Figma screen automation scripts: Summary - add the local Figma screen automation scripts to the repository - preserve the latest develop history by rebasing before opening this PR</t>
        </is>
      </c>
      <c r="I17" s="11" t="inlineStr">
        <is>
          <t>Hoàn thành</t>
        </is>
      </c>
      <c r="J17" s="10" t="n">
        <v>1</v>
      </c>
    </row>
    <row r="18" ht="26" customHeight="1">
      <c r="A18" s="20" t="n">
        <v>14</v>
      </c>
      <c r="B18" s="20" t="inlineStr">
        <is>
          <t>#27</t>
        </is>
      </c>
      <c r="C18" s="21" t="inlineStr">
        <is>
          <t>fix(api): configure trust proxy and parse client IP for auth rate lim…</t>
        </is>
      </c>
      <c r="D18" s="20" t="inlineStr">
        <is>
          <t>UncleYelloow (Huy Hoàng)</t>
        </is>
      </c>
      <c r="E18" s="21" t="inlineStr">
        <is>
          <t>fix/issue-19-trust-proxy</t>
        </is>
      </c>
      <c r="F18" s="20" t="inlineStr">
        <is>
          <t>2026-10-20</t>
        </is>
      </c>
      <c r="G18" s="20" t="inlineStr">
        <is>
          <t>#19</t>
        </is>
      </c>
      <c r="H18" s="21" t="inlineStr">
        <is>
          <t>fix(api): configure trust proxy and parse client IP for auth rate lim…</t>
        </is>
      </c>
      <c r="I18" s="11" t="inlineStr">
        <is>
          <t>Hoàn thành</t>
        </is>
      </c>
      <c r="J18" s="22" t="n">
        <v>1</v>
      </c>
    </row>
    <row r="19" ht="26" customHeight="1">
      <c r="A19" s="19" t="n">
        <v>15</v>
      </c>
      <c r="B19" s="19" t="inlineStr">
        <is>
          <t>#28</t>
        </is>
      </c>
      <c r="C19" s="8" t="inlineStr">
        <is>
          <t>feat(barcode): add browser-0.2.1 barcode scanning module</t>
        </is>
      </c>
      <c r="D19" s="19" t="inlineStr">
        <is>
          <t>UncleYelloow (Huy Hoàng)</t>
        </is>
      </c>
      <c r="E19" s="8" t="inlineStr">
        <is>
          <t>feature/barcode</t>
        </is>
      </c>
      <c r="F19" s="19" t="inlineStr">
        <is>
          <t>2026-10-20</t>
        </is>
      </c>
      <c r="G19" s="19" t="inlineStr">
        <is>
          <t>-</t>
        </is>
      </c>
      <c r="H19" s="8" t="inlineStr">
        <is>
          <t>feat(barcode): add browser-0.2.1 barcode scanning module</t>
        </is>
      </c>
      <c r="I19" s="11" t="inlineStr">
        <is>
          <t>Hoàn thành</t>
        </is>
      </c>
      <c r="J19" s="10" t="n">
        <v>1</v>
      </c>
    </row>
    <row r="20" ht="26" customHeight="1">
      <c r="A20" s="20" t="n">
        <v>16</v>
      </c>
      <c r="B20" s="20" t="inlineStr">
        <is>
          <t>#29</t>
        </is>
      </c>
      <c r="C20" s="21" t="inlineStr">
        <is>
          <t>fix(api): align duplicate registration error code with frontend (#20)</t>
        </is>
      </c>
      <c r="D20" s="20" t="inlineStr">
        <is>
          <t>UncleYelloow (Huy Hoàng)</t>
        </is>
      </c>
      <c r="E20" s="21" t="inlineStr">
        <is>
          <t>fix/issue-20-align-duplicate-registration-error</t>
        </is>
      </c>
      <c r="F20" s="20" t="inlineStr">
        <is>
          <t>2026-10-20</t>
        </is>
      </c>
      <c r="G20" s="20" t="inlineStr">
        <is>
          <t>#20</t>
        </is>
      </c>
      <c r="H20" s="21" t="inlineStr">
        <is>
          <t>fix(api): align duplicate registration error code with frontend (#20)</t>
        </is>
      </c>
      <c r="I20" s="11" t="inlineStr">
        <is>
          <t>Hoàn thành</t>
        </is>
      </c>
      <c r="J20" s="22" t="n">
        <v>1</v>
      </c>
    </row>
    <row r="21" ht="26" customHeight="1">
      <c r="A21" s="19" t="n">
        <v>17</v>
      </c>
      <c r="B21" s="19" t="inlineStr">
        <is>
          <t>#30</t>
        </is>
      </c>
      <c r="C21" s="8" t="inlineStr">
        <is>
          <t>fix(dbops): load environment from database/mysql/.env in quality gate…</t>
        </is>
      </c>
      <c r="D21" s="19" t="inlineStr">
        <is>
          <t>UncleYelloow (Huy Hoàng)</t>
        </is>
      </c>
      <c r="E21" s="8" t="inlineStr">
        <is>
          <t>fix/issue-22-load-env-test-dbops</t>
        </is>
      </c>
      <c r="F21" s="19" t="inlineStr">
        <is>
          <t>2026-10-20</t>
        </is>
      </c>
      <c r="G21" s="19" t="inlineStr">
        <is>
          <t>#22</t>
        </is>
      </c>
      <c r="H21" s="8" t="inlineStr">
        <is>
          <t>fix(dbops): load environment from database/mysql/.env in quality gate…</t>
        </is>
      </c>
      <c r="I21" s="11" t="inlineStr">
        <is>
          <t>Hoàn thành</t>
        </is>
      </c>
      <c r="J21" s="10" t="n">
        <v>1</v>
      </c>
    </row>
    <row r="22" ht="26" customHeight="1">
      <c r="A22" s="20" t="n">
        <v>18</v>
      </c>
      <c r="B22" s="20" t="inlineStr">
        <is>
          <t>#31</t>
        </is>
      </c>
      <c r="C22" s="21" t="inlineStr">
        <is>
          <t>fix(api): add filter support (q, location) to trash api endpoint (#24)</t>
        </is>
      </c>
      <c r="D22" s="20" t="inlineStr">
        <is>
          <t>UncleYelloow (Huy Hoàng)</t>
        </is>
      </c>
      <c r="E22" s="21" t="inlineStr">
        <is>
          <t>fix/issue-24-trash-filter-support</t>
        </is>
      </c>
      <c r="F22" s="20" t="inlineStr">
        <is>
          <t>2026-10-20</t>
        </is>
      </c>
      <c r="G22" s="20" t="inlineStr">
        <is>
          <t>#24</t>
        </is>
      </c>
      <c r="H22" s="21" t="inlineStr">
        <is>
          <t>fix(api): add filter support (q, location) to trash api endpoint (#24)</t>
        </is>
      </c>
      <c r="I22" s="11" t="inlineStr">
        <is>
          <t>Hoàn thành</t>
        </is>
      </c>
      <c r="J22" s="22" t="n">
        <v>1</v>
      </c>
    </row>
    <row r="23" ht="26" customHeight="1">
      <c r="A23" s="19" t="n">
        <v>19</v>
      </c>
      <c r="B23" s="19" t="inlineStr">
        <is>
          <t>#104</t>
        </is>
      </c>
      <c r="C23" s="8" t="inlineStr">
        <is>
          <t>docs(contract): reconcile openapi 3.1 for trash filter parameters (q,…</t>
        </is>
      </c>
      <c r="D23" s="19" t="inlineStr">
        <is>
          <t>UncleYelloow (Huy Hoàng)</t>
        </is>
      </c>
      <c r="E23" s="8" t="inlineStr">
        <is>
          <t>fix/issue-35-reconcile-openapi-trash-filter</t>
        </is>
      </c>
      <c r="F23" s="19" t="inlineStr">
        <is>
          <t>2026-10-20</t>
        </is>
      </c>
      <c r="G23" s="19" t="inlineStr">
        <is>
          <t>#35</t>
        </is>
      </c>
      <c r="H23" s="8" t="inlineStr">
        <is>
          <t>docs(contract): reconcile openapi 3.1 for trash filter parameters (q,…</t>
        </is>
      </c>
      <c r="I23" s="11" t="inlineStr">
        <is>
          <t>Hoàn thành</t>
        </is>
      </c>
      <c r="J23" s="10" t="n">
        <v>1</v>
      </c>
    </row>
    <row r="24" ht="26" customHeight="1">
      <c r="A24" s="20" t="n">
        <v>20</v>
      </c>
      <c r="B24" s="20" t="inlineStr">
        <is>
          <t>#105</t>
        </is>
      </c>
      <c r="C24" s="21" t="inlineStr">
        <is>
          <t>Tducn110 patch 1</t>
        </is>
      </c>
      <c r="D24" s="20" t="inlineStr">
        <is>
          <t>tducn110 (Leader)</t>
        </is>
      </c>
      <c r="E24" s="21" t="inlineStr">
        <is>
          <t>tducn110-patch-1</t>
        </is>
      </c>
      <c r="F24" s="20" t="inlineStr">
        <is>
          <t>2026-10-20</t>
        </is>
      </c>
      <c r="G24" s="20" t="inlineStr">
        <is>
          <t>-</t>
        </is>
      </c>
      <c r="H24" s="21" t="inlineStr">
        <is>
          <t>Tducn110 patch 1</t>
        </is>
      </c>
      <c r="I24" s="11" t="inlineStr">
        <is>
          <t>Hoàn thành</t>
        </is>
      </c>
      <c r="J24" s="22" t="n">
        <v>1</v>
      </c>
    </row>
    <row r="25" ht="26" customHeight="1">
      <c r="A25" s="19" t="n">
        <v>21</v>
      </c>
      <c r="B25" s="19" t="inlineStr">
        <is>
          <t>#106</t>
        </is>
      </c>
      <c r="C25" s="8" t="inlineStr">
        <is>
          <t>Fix/issue 34 purge vendor dump browser</t>
        </is>
      </c>
      <c r="D25" s="19" t="inlineStr">
        <is>
          <t>UncleYelloow (Huy Hoàng)</t>
        </is>
      </c>
      <c r="E25" s="8" t="inlineStr">
        <is>
          <t>fix/issue-34-purge-vendor-dump-browser</t>
        </is>
      </c>
      <c r="F25" s="19" t="inlineStr">
        <is>
          <t>2026-10-20</t>
        </is>
      </c>
      <c r="G25" s="19" t="inlineStr">
        <is>
          <t>#34</t>
        </is>
      </c>
      <c r="H25" s="8" t="inlineStr">
        <is>
          <t>Fix/issue 34 purge vendor dump browser</t>
        </is>
      </c>
      <c r="I25" s="11" t="inlineStr">
        <is>
          <t>Hoàn thành</t>
        </is>
      </c>
      <c r="J25" s="10" t="n">
        <v>1</v>
      </c>
    </row>
    <row r="26" ht="26" customHeight="1">
      <c r="A26" s="20" t="n">
        <v>22</v>
      </c>
      <c r="B26" s="20" t="inlineStr">
        <is>
          <t>#107</t>
        </is>
      </c>
      <c r="C26" s="21" t="inlineStr">
        <is>
          <t>fix(auth): fix IP spoofing and rate limit bypass in auth routes (#33)</t>
        </is>
      </c>
      <c r="D26" s="20" t="inlineStr">
        <is>
          <t>UncleYelloow (Huy Hoàng)</t>
        </is>
      </c>
      <c r="E26" s="21" t="inlineStr">
        <is>
          <t>fix/issue-33-fix-ip-spoofing-auth-rate-limit</t>
        </is>
      </c>
      <c r="F26" s="20" t="inlineStr">
        <is>
          <t>2026-10-21</t>
        </is>
      </c>
      <c r="G26" s="20" t="inlineStr">
        <is>
          <t>#33</t>
        </is>
      </c>
      <c r="H26" s="21" t="inlineStr">
        <is>
          <t>fix(auth): fix IP spoofing and rate limit bypass in auth routes (#33)</t>
        </is>
      </c>
      <c r="I26" s="11" t="inlineStr">
        <is>
          <t>Hoàn thành</t>
        </is>
      </c>
      <c r="J26" s="22" t="n">
        <v>1</v>
      </c>
    </row>
    <row r="27" ht="26" customHeight="1">
      <c r="A27" s="19" t="n">
        <v>23</v>
      </c>
      <c r="B27" s="19" t="inlineStr">
        <is>
          <t>#110</t>
        </is>
      </c>
      <c r="C27" s="8" t="inlineStr">
        <is>
          <t>Feature/fe barcode camera scanner</t>
        </is>
      </c>
      <c r="D27" s="19" t="inlineStr">
        <is>
          <t>UncleYelloow (Huy Hoàng)</t>
        </is>
      </c>
      <c r="E27" s="8" t="inlineStr">
        <is>
          <t>feature/fe-barcode-camera-scanner</t>
        </is>
      </c>
      <c r="F27" s="19" t="inlineStr">
        <is>
          <t>2026-10-20</t>
        </is>
      </c>
      <c r="G27" s="19" t="inlineStr">
        <is>
          <t>-</t>
        </is>
      </c>
      <c r="H27" s="8" t="inlineStr">
        <is>
          <t>Feature/fe barcode camera scanner</t>
        </is>
      </c>
      <c r="I27" s="11" t="inlineStr">
        <is>
          <t>Hoàn thành</t>
        </is>
      </c>
      <c r="J27" s="10" t="n">
        <v>1</v>
      </c>
    </row>
    <row r="28" ht="26" customHeight="1">
      <c r="A28" s="20" t="n">
        <v>24</v>
      </c>
      <c r="B28" s="20" t="inlineStr">
        <is>
          <t>#111</t>
        </is>
      </c>
      <c r="C28" s="21" t="inlineStr">
        <is>
          <t>feat(inventory): implement trash lifecycle with soft-delete, one-click restore and filters (#47)</t>
        </is>
      </c>
      <c r="D28" s="20" t="inlineStr">
        <is>
          <t>UncleYelloow (Huy Hoàng)</t>
        </is>
      </c>
      <c r="E28" s="21" t="inlineStr">
        <is>
          <t>feature/issue-47-trash-lifecycle</t>
        </is>
      </c>
      <c r="F28" s="20" t="inlineStr">
        <is>
          <t>2026-10-21</t>
        </is>
      </c>
      <c r="G28" s="20" t="inlineStr">
        <is>
          <t>#47</t>
        </is>
      </c>
      <c r="H28" s="21" t="inlineStr">
        <is>
          <t>feat(inventory): implement trash lifecycle with soft-delete, one-click restore and filters (#47)</t>
        </is>
      </c>
      <c r="I28" s="11" t="inlineStr">
        <is>
          <t>Hoàn thành</t>
        </is>
      </c>
      <c r="J28" s="22" t="n">
        <v>1</v>
      </c>
    </row>
    <row r="29" ht="26" customHeight="1">
      <c r="A29" s="19" t="n">
        <v>25</v>
      </c>
      <c r="B29" s="19" t="inlineStr">
        <is>
          <t>#112</t>
        </is>
      </c>
      <c r="C29" s="8" t="inlineStr">
        <is>
          <t>feat(inventory): metadata correction and physical recount with concurrency control (#46)</t>
        </is>
      </c>
      <c r="D29" s="19" t="inlineStr">
        <is>
          <t>UncleYelloow (Huy Hoàng)</t>
        </is>
      </c>
      <c r="E29" s="8" t="inlineStr">
        <is>
          <t>fix/issue-46-metadata-correction-recount</t>
        </is>
      </c>
      <c r="F29" s="19" t="inlineStr">
        <is>
          <t>2026-10-21</t>
        </is>
      </c>
      <c r="G29" s="19" t="inlineStr">
        <is>
          <t>#46</t>
        </is>
      </c>
      <c r="H29" s="8" t="inlineStr">
        <is>
          <t xml:space="preserve">feat(inventory): metadata correction and physical recount with concurrency control (#46): 🎯 Bối cảnh &amp; Mục tiêu (Context &amp; Objectives) - Giải quyết Issue 46 (thuộc Epic 41 - Phase 9): Triển khai đầy đủ tính năng sửa metadata món ăn và kiểm kê số lượng thực tế (Physical </t>
        </is>
      </c>
      <c r="I29" s="11" t="inlineStr">
        <is>
          <t>Hoàn thành</t>
        </is>
      </c>
      <c r="J29" s="10" t="n">
        <v>1</v>
      </c>
    </row>
    <row r="30" ht="26" customHeight="1">
      <c r="A30" s="20" t="n">
        <v>26</v>
      </c>
      <c r="B30" s="20" t="inlineStr">
        <is>
          <t>#114</t>
        </is>
      </c>
      <c r="C30" s="21" t="inlineStr">
        <is>
          <t>Fix/issue 97 password toggle accessibility</t>
        </is>
      </c>
      <c r="D30" s="20" t="inlineStr">
        <is>
          <t>kiet00394-collab (Tuấn Kiệt)</t>
        </is>
      </c>
      <c r="E30" s="21" t="inlineStr">
        <is>
          <t>fix/issue-97-password-toggle-accessibility</t>
        </is>
      </c>
      <c r="F30" s="20" t="inlineStr">
        <is>
          <t>2026-10-21</t>
        </is>
      </c>
      <c r="G30" s="20" t="inlineStr">
        <is>
          <t>#97</t>
        </is>
      </c>
      <c r="H30" s="21" t="inlineStr">
        <is>
          <t>Fix/issue 97 password toggle accessibility: Summary - Restore keyboard access to the password visibility toggle and expose its pressed state. - Move the control's inline styles into dedicated CSS classes.</t>
        </is>
      </c>
      <c r="I30" s="11" t="inlineStr">
        <is>
          <t>Hoàn thành</t>
        </is>
      </c>
      <c r="J30" s="22" t="n">
        <v>1</v>
      </c>
    </row>
    <row r="31" ht="26" customHeight="1">
      <c r="A31" s="19" t="n">
        <v>27</v>
      </c>
      <c r="B31" s="19" t="inlineStr">
        <is>
          <t>#115</t>
        </is>
      </c>
      <c r="C31" s="8" t="inlineStr">
        <is>
          <t>fix(web): normalize date/time formatting for Safari</t>
        </is>
      </c>
      <c r="D31" s="19" t="inlineStr">
        <is>
          <t>kiet00394-collab (Tuấn Kiệt)</t>
        </is>
      </c>
      <c r="E31" s="8" t="inlineStr">
        <is>
          <t>fix/issue-95-safe-date-time-format</t>
        </is>
      </c>
      <c r="F31" s="19" t="inlineStr">
        <is>
          <t>2026-10-21</t>
        </is>
      </c>
      <c r="G31" s="19" t="inlineStr">
        <is>
          <t>#95</t>
        </is>
      </c>
      <c r="H31" s="8" t="inlineStr">
        <is>
          <t>fix(web): normalize date/time formatting for Safari: Summary - Normalize SQL timestamps, truncate unsupported microseconds, and treat timezone-less timestamps as UTC. - Avoid runtime exceptions for invalid timestamps and format ISO d</t>
        </is>
      </c>
      <c r="I31" s="11" t="inlineStr">
        <is>
          <t>Hoàn thành</t>
        </is>
      </c>
      <c r="J31" s="10" t="n">
        <v>1</v>
      </c>
    </row>
    <row r="32" ht="26" customHeight="1">
      <c r="A32" s="20" t="n">
        <v>28</v>
      </c>
      <c r="B32" s="20" t="inlineStr">
        <is>
          <t>#116</t>
        </is>
      </c>
      <c r="C32" s="21" t="inlineStr">
        <is>
          <t>fix(web): align date source enum with backend schema</t>
        </is>
      </c>
      <c r="D32" s="20" t="inlineStr">
        <is>
          <t>kiet00394-collab (Tuấn Kiệt)</t>
        </is>
      </c>
      <c r="E32" s="21" t="inlineStr">
        <is>
          <t>fix/issue-96-date-source-enum</t>
        </is>
      </c>
      <c r="F32" s="20" t="inlineStr">
        <is>
          <t>2026-10-21</t>
        </is>
      </c>
      <c r="G32" s="20" t="inlineStr">
        <is>
          <t>#96</t>
        </is>
      </c>
      <c r="H32" s="21" t="inlineStr">
        <is>
          <t>fix(web): align date source enum with backend schema: Summary - Align frontend DateSource values with the canonical backend enum. - Update labels, DTO mappings, form controls, and demo data for the canonical values. - Add regression c</t>
        </is>
      </c>
      <c r="I32" s="11" t="inlineStr">
        <is>
          <t>Hoàn thành</t>
        </is>
      </c>
      <c r="J32" s="22" t="n">
        <v>1</v>
      </c>
    </row>
    <row r="33" ht="26" customHeight="1">
      <c r="A33" s="19" t="n">
        <v>29</v>
      </c>
      <c r="B33" s="19" t="inlineStr">
        <is>
          <t>#117</t>
        </is>
      </c>
      <c r="C33" s="8" t="inlineStr">
        <is>
          <t>fix(scan): parse Vietnamese textual month names</t>
        </is>
      </c>
      <c r="D33" s="19" t="inlineStr">
        <is>
          <t>kiet00394-collab (Tuấn Kiệt)</t>
        </is>
      </c>
      <c r="E33" s="8" t="inlineStr">
        <is>
          <t>fix/issue-94-vietnamese-month-parsing</t>
        </is>
      </c>
      <c r="F33" s="19" t="inlineStr">
        <is>
          <t>2026-10-21</t>
        </is>
      </c>
      <c r="G33" s="19" t="inlineStr">
        <is>
          <t>#94</t>
        </is>
      </c>
      <c r="H33" s="8" t="inlineStr">
        <is>
          <t>fix(scan): parse Vietnamese textual month names: Summary - Parse Vietnamese month names and preserve English month support. - Add regression tests for Vietnamese month formats.</t>
        </is>
      </c>
      <c r="I33" s="11" t="inlineStr">
        <is>
          <t>Hoàn thành</t>
        </is>
      </c>
      <c r="J33" s="10" t="n">
        <v>1</v>
      </c>
    </row>
    <row r="34" ht="26" customHeight="1">
      <c r="A34" s="20" t="n">
        <v>30</v>
      </c>
      <c r="B34" s="20" t="inlineStr">
        <is>
          <t>#118</t>
        </is>
      </c>
      <c r="C34" s="21" t="inlineStr">
        <is>
          <t>fix(api): bound graceful shutdown and close idle connections</t>
        </is>
      </c>
      <c r="D34" s="20" t="inlineStr">
        <is>
          <t>kiet00394-collab (Tuấn Kiệt)</t>
        </is>
      </c>
      <c r="E34" s="21" t="inlineStr">
        <is>
          <t>fix/issue-91-graceful-server-shutdown</t>
        </is>
      </c>
      <c r="F34" s="20" t="inlineStr">
        <is>
          <t>2026-10-21</t>
        </is>
      </c>
      <c r="G34" s="20" t="inlineStr">
        <is>
          <t>#91</t>
        </is>
      </c>
      <c r="H34" s="21" t="inlineStr">
        <is>
          <t>fix(api): bound graceful shutdown and close idle connections: Summary - Close idle HTTP keep-alive connections on SIGINT/SIGTERM and cap graceful shutdown at 10 seconds. - Close database pools before exiting, and report shutdown failures. - L</t>
        </is>
      </c>
      <c r="I34" s="11" t="inlineStr">
        <is>
          <t>Hoàn thành</t>
        </is>
      </c>
      <c r="J34" s="22" t="n">
        <v>1</v>
      </c>
    </row>
    <row r="35" ht="26" customHeight="1">
      <c r="A35" s="19" t="n">
        <v>31</v>
      </c>
      <c r="B35" s="19" t="inlineStr">
        <is>
          <t>#119</t>
        </is>
      </c>
      <c r="C35" s="8" t="inlineStr">
        <is>
          <t>fix(api): remove per-checkout timezone roundtrip</t>
        </is>
      </c>
      <c r="D35" s="19" t="inlineStr">
        <is>
          <t>kiet00394-collab (Tuấn Kiệt)</t>
        </is>
      </c>
      <c r="E35" s="8" t="inlineStr">
        <is>
          <t>fix/issue-90-remove-timezone-roundtrip</t>
        </is>
      </c>
      <c r="F35" s="19" t="inlineStr">
        <is>
          <t>2026-10-21</t>
        </is>
      </c>
      <c r="G35" s="19" t="inlineStr">
        <is>
          <t>#90</t>
        </is>
      </c>
      <c r="H35" s="8" t="inlineStr">
        <is>
          <t>fix(api): remove per-checkout timezone roundtrip: Summary - Set MySQL session timezone to UTC once when each pooled connection is created. - Roll back unfinished transactions before returning connections to the pool; destroy conne</t>
        </is>
      </c>
      <c r="I35" s="11" t="inlineStr">
        <is>
          <t>Hoàn thành</t>
        </is>
      </c>
      <c r="J35" s="10" t="n">
        <v>1</v>
      </c>
    </row>
    <row r="36" ht="26" customHeight="1">
      <c r="A36" s="20" t="n">
        <v>32</v>
      </c>
      <c r="B36" s="20" t="inlineStr">
        <is>
          <t>#120</t>
        </is>
      </c>
      <c r="C36" s="21" t="inlineStr">
        <is>
          <t>fix(auth): handle session expiry boundary safely</t>
        </is>
      </c>
      <c r="D36" s="20" t="inlineStr">
        <is>
          <t>kiet00394-collab (Tuấn Kiệt)</t>
        </is>
      </c>
      <c r="E36" s="21" t="inlineStr">
        <is>
          <t>fix/issue-89-session-expiry-check-constraint</t>
        </is>
      </c>
      <c r="F36" s="20" t="inlineStr">
        <is>
          <t>2026-10-21</t>
        </is>
      </c>
      <c r="G36" s="20" t="inlineStr">
        <is>
          <t>#89</t>
        </is>
      </c>
      <c r="H36" s="21" t="inlineStr">
        <is>
          <t>fix(auth): handle session expiry boundary safely: Summary - Preserve migration 002's checksum and add forward-only migration 003 to allow last_seen_at = expires_at. - Reject activity at the expiry boundary before updating last_see</t>
        </is>
      </c>
      <c r="I36" s="11" t="inlineStr">
        <is>
          <t>Hoàn thành</t>
        </is>
      </c>
      <c r="J36" s="22" t="n">
        <v>1</v>
      </c>
    </row>
    <row r="37" ht="26" customHeight="1">
      <c r="A37" s="19" t="n">
        <v>33</v>
      </c>
      <c r="B37" s="19" t="inlineStr">
        <is>
          <t>#121</t>
        </is>
      </c>
      <c r="C37" s="8" t="inlineStr">
        <is>
          <t>fix(auth): queue bounded scrypt derivations</t>
        </is>
      </c>
      <c r="D37" s="19" t="inlineStr">
        <is>
          <t>kiet00394-collab (Tuấn Kiệt)</t>
        </is>
      </c>
      <c r="E37" s="8" t="inlineStr">
        <is>
          <t>fix/issue-88-scrypt-concurrency-cap</t>
        </is>
      </c>
      <c r="F37" s="19" t="inlineStr">
        <is>
          <t>2026-10-21</t>
        </is>
      </c>
      <c r="G37" s="19" t="inlineStr">
        <is>
          <t>#88</t>
        </is>
      </c>
      <c r="H37" s="8" t="inlineStr">
        <is>
          <t>fix(auth): queue bounded scrypt derivations: Summary - Keep scrypt concurrency at two while queueing up to eight additional derivations for at most two seconds. - Return 429 AUTH_RATE_LIMITED with Retry-After: 1 when the queu</t>
        </is>
      </c>
      <c r="I37" s="11" t="inlineStr">
        <is>
          <t>Hoàn thành</t>
        </is>
      </c>
      <c r="J37" s="10" t="n">
        <v>1</v>
      </c>
    </row>
    <row r="38" ht="26" customHeight="1">
      <c r="A38" s="20" t="n">
        <v>34</v>
      </c>
      <c r="B38" s="20" t="inlineStr">
        <is>
          <t>#122</t>
        </is>
      </c>
      <c r="C38" s="21" t="inlineStr">
        <is>
          <t>fix(web): delete ScrollbarAutohide and rely on native overlay scrollbars</t>
        </is>
      </c>
      <c r="D38" s="20" t="inlineStr">
        <is>
          <t>kiet00394-collab (Tuấn Kiệt)</t>
        </is>
      </c>
      <c r="E38" s="21" t="inlineStr">
        <is>
          <t>fix/issue-101-delete-scrollbar-autohide</t>
        </is>
      </c>
      <c r="F38" s="20" t="inlineStr">
        <is>
          <t>2026-10-21</t>
        </is>
      </c>
      <c r="G38" s="20" t="inlineStr">
        <is>
          <t>#101</t>
        </is>
      </c>
      <c r="H38" s="21" t="inlineStr">
        <is>
          <t>fix(web): delete ScrollbarAutohide and rely on native overlay scrollbars</t>
        </is>
      </c>
      <c r="I38" s="11" t="inlineStr">
        <is>
          <t>Hoàn thành</t>
        </is>
      </c>
      <c r="J38" s="22" t="n">
        <v>1</v>
      </c>
    </row>
    <row r="39" ht="26" customHeight="1">
      <c r="A39" s="19" t="n">
        <v>35</v>
      </c>
      <c r="B39" s="19" t="inlineStr">
        <is>
          <t>#123</t>
        </is>
      </c>
      <c r="C39" s="8" t="inlineStr">
        <is>
          <t>fix(core): fix negative number and fraction formatting in decimal helper</t>
        </is>
      </c>
      <c r="D39" s="19" t="inlineStr">
        <is>
          <t>kiet00394-collab (Tuấn Kiệt)</t>
        </is>
      </c>
      <c r="E39" s="8" t="inlineStr">
        <is>
          <t>fix/issue-78-decimal-negative-numbers</t>
        </is>
      </c>
      <c r="F39" s="19" t="inlineStr">
        <is>
          <t>2026-10-21</t>
        </is>
      </c>
      <c r="G39" s="19" t="inlineStr">
        <is>
          <t>#78</t>
        </is>
      </c>
      <c r="H39" s="8" t="inlineStr">
        <is>
          <t>fix(core): fix negative number and fraction formatting in decimal helper</t>
        </is>
      </c>
      <c r="I39" s="11" t="inlineStr">
        <is>
          <t>Hoàn thành</t>
        </is>
      </c>
      <c r="J39" s="10" t="n">
        <v>1</v>
      </c>
    </row>
    <row r="40" ht="26" customHeight="1">
      <c r="A40" s="20" t="n">
        <v>36</v>
      </c>
      <c r="B40" s="20" t="inlineStr">
        <is>
          <t>#124</t>
        </is>
      </c>
      <c r="C40" s="21" t="inlineStr">
        <is>
          <t>fix(web): allow confirming no-op recount with clear user feedback</t>
        </is>
      </c>
      <c r="D40" s="20" t="inlineStr">
        <is>
          <t>kiet00394-collab (Tuấn Kiệt)</t>
        </is>
      </c>
      <c r="E40" s="21" t="inlineStr">
        <is>
          <t>fix/issue-86-recount-noop-feedback</t>
        </is>
      </c>
      <c r="F40" s="20" t="inlineStr">
        <is>
          <t>2026-10-21</t>
        </is>
      </c>
      <c r="G40" s="20" t="inlineStr">
        <is>
          <t>#86</t>
        </is>
      </c>
      <c r="H40" s="21" t="inlineStr">
        <is>
          <t>fix(web): allow confirming no-op recount with clear user feedback</t>
        </is>
      </c>
      <c r="I40" s="11" t="inlineStr">
        <is>
          <t>Hoàn thành</t>
        </is>
      </c>
      <c r="J40" s="22" t="n">
        <v>1</v>
      </c>
    </row>
    <row r="41" ht="26" customHeight="1">
      <c r="A41" s="19" t="n">
        <v>37</v>
      </c>
      <c r="B41" s="19" t="inlineStr">
        <is>
          <t>#125</t>
        </is>
      </c>
      <c r="C41" s="8" t="inlineStr">
        <is>
          <t>fix(api): move OCR scan service healthcheck outside auth boundary</t>
        </is>
      </c>
      <c r="D41" s="19" t="inlineStr">
        <is>
          <t>kiet00394-collab (Tuấn Kiệt)</t>
        </is>
      </c>
      <c r="E41" s="8" t="inlineStr">
        <is>
          <t>fix/issue-70-scan-health-outside-auth</t>
        </is>
      </c>
      <c r="F41" s="19" t="inlineStr">
        <is>
          <t>2026-10-21</t>
        </is>
      </c>
      <c r="G41" s="19" t="inlineStr">
        <is>
          <t>#70</t>
        </is>
      </c>
      <c r="H41" s="8" t="inlineStr">
        <is>
          <t>fix(api): move OCR scan service healthcheck outside auth boundary</t>
        </is>
      </c>
      <c r="I41" s="11" t="inlineStr">
        <is>
          <t>Hoàn thành</t>
        </is>
      </c>
      <c r="J41" s="10" t="n">
        <v>1</v>
      </c>
    </row>
    <row r="42" ht="26" customHeight="1">
      <c r="A42" s="20" t="n">
        <v>38</v>
      </c>
      <c r="B42" s="20" t="inlineStr">
        <is>
          <t>#126</t>
        </is>
      </c>
      <c r="C42" s="21" t="inlineStr">
        <is>
          <t>fix(sec): prevent command injection in notify-mobile via native fetch</t>
        </is>
      </c>
      <c r="D42" s="20" t="inlineStr">
        <is>
          <t>kiet00394-collab (Tuấn Kiệt)</t>
        </is>
      </c>
      <c r="E42" s="21" t="inlineStr">
        <is>
          <t>fix/issue-68-notify-command-injection</t>
        </is>
      </c>
      <c r="F42" s="20" t="inlineStr">
        <is>
          <t>2026-10-21</t>
        </is>
      </c>
      <c r="G42" s="20" t="inlineStr">
        <is>
          <t>#68</t>
        </is>
      </c>
      <c r="H42" s="21" t="inlineStr">
        <is>
          <t>fix(sec): prevent command injection in notify-mobile via native fetch</t>
        </is>
      </c>
      <c r="I42" s="11" t="inlineStr">
        <is>
          <t>Hoàn thành</t>
        </is>
      </c>
      <c r="J42" s="22" t="n">
        <v>1</v>
      </c>
    </row>
    <row r="43" ht="26" customHeight="1">
      <c r="A43" s="19" t="n">
        <v>39</v>
      </c>
      <c r="B43" s="19" t="inlineStr">
        <is>
          <t>#127</t>
        </is>
      </c>
      <c r="C43" s="8" t="inlineStr">
        <is>
          <t>feat(inventory): food item detail view, provenance &amp; history navigati…</t>
        </is>
      </c>
      <c r="D43" s="19" t="inlineStr">
        <is>
          <t>UncleYelloow (Huy Hoàng)</t>
        </is>
      </c>
      <c r="E43" s="8" t="inlineStr">
        <is>
          <t>feat/issue-44-detail-provenance-history</t>
        </is>
      </c>
      <c r="F43" s="19" t="inlineStr">
        <is>
          <t>2026-10-21</t>
        </is>
      </c>
      <c r="G43" s="19" t="inlineStr">
        <is>
          <t>#44</t>
        </is>
      </c>
      <c r="H43" s="8" t="inlineStr">
        <is>
          <t>feat(inventory): food item detail view, provenance &amp; history navigati…: 🎯 Mục tiêu (Objective) Giải quyết Issue 44 ([CAP-03] Food Item Detail View, Provenance &amp; History Navigation) thuộc Epic 41 (Phase 9): - Cung cấp màn hình chi tiết thực phẩm (Detail</t>
        </is>
      </c>
      <c r="I43" s="11" t="inlineStr">
        <is>
          <t>Hoàn thành</t>
        </is>
      </c>
      <c r="J43" s="10" t="n">
        <v>1</v>
      </c>
    </row>
    <row r="44" ht="26" customHeight="1">
      <c r="A44" s="20" t="n">
        <v>40</v>
      </c>
      <c r="B44" s="20" t="inlineStr">
        <is>
          <t>#128</t>
        </is>
      </c>
      <c r="C44" s="21" t="inlineStr">
        <is>
          <t>fix(db): implement TTL prune routine for expired sessions and idempotency keys</t>
        </is>
      </c>
      <c r="D44" s="20" t="inlineStr">
        <is>
          <t>kiet00394-collab (Tuấn Kiệt)</t>
        </is>
      </c>
      <c r="E44" s="21" t="inlineStr">
        <is>
          <t>fix/issue-69-prune-sessions-and-requests</t>
        </is>
      </c>
      <c r="F44" s="20" t="inlineStr">
        <is>
          <t>2026-10-21</t>
        </is>
      </c>
      <c r="G44" s="20" t="inlineStr">
        <is>
          <t>#69</t>
        </is>
      </c>
      <c r="H44" s="21" t="inlineStr">
        <is>
          <t>fix(db): implement TTL prune routine for expired sessions and idempotency keys</t>
        </is>
      </c>
      <c r="I44" s="11" t="inlineStr">
        <is>
          <t>Hoàn thành</t>
        </is>
      </c>
      <c r="J44" s="22" t="n">
        <v>1</v>
      </c>
    </row>
    <row r="45" ht="26" customHeight="1">
      <c r="A45" s="19" t="n">
        <v>41</v>
      </c>
      <c r="B45" s="19" t="inlineStr">
        <is>
          <t>#129</t>
        </is>
      </c>
      <c r="C45" s="8" t="inlineStr">
        <is>
          <t>fix(scan): normalize image uploads across clients</t>
        </is>
      </c>
      <c r="D45" s="19" t="inlineStr">
        <is>
          <t>kiet00394-collab (Tuấn Kiệt)</t>
        </is>
      </c>
      <c r="E45" s="8" t="inlineStr">
        <is>
          <t>fix/issue-84-scan-mime-normalization</t>
        </is>
      </c>
      <c r="F45" s="19" t="inlineStr">
        <is>
          <t>2026-10-21</t>
        </is>
      </c>
      <c r="G45" s="19" t="inlineStr">
        <is>
          <t>#84</t>
        </is>
      </c>
      <c r="H45" s="8" t="inlineStr">
        <is>
          <t>fix(scan): normalize image uploads across clients: Summary - Normalize image/jpg and image/pjpeg to JPEG and infer application/octet-stream uploads from image magic bytes. - Accept either image or file multipart field in the Node g</t>
        </is>
      </c>
      <c r="I45" s="11" t="inlineStr">
        <is>
          <t>Hoàn thành</t>
        </is>
      </c>
      <c r="J45" s="10" t="n">
        <v>1</v>
      </c>
    </row>
    <row r="46" ht="26" customHeight="1">
      <c r="A46" s="20" t="n">
        <v>42</v>
      </c>
      <c r="B46" s="20" t="inlineStr">
        <is>
          <t>#131</t>
        </is>
      </c>
      <c r="C46" s="21" t="inlineStr">
        <is>
          <t>feat(scan): optimize mobile uploads and preview images</t>
        </is>
      </c>
      <c r="D46" s="20" t="inlineStr">
        <is>
          <t>kiet00394-collab (Tuấn Kiệt)</t>
        </is>
      </c>
      <c r="E46" s="21" t="inlineStr">
        <is>
          <t>fix/issue-85-camera-image-optimization</t>
        </is>
      </c>
      <c r="F46" s="20" t="inlineStr">
        <is>
          <t>2026-10-21</t>
        </is>
      </c>
      <c r="G46" s="20" t="inlineStr">
        <is>
          <t>#85</t>
        </is>
      </c>
      <c r="H46" s="21" t="inlineStr">
        <is>
          <t>feat(scan): optimize mobile uploads and preview images: Summary - Add direct rear-camera capture and a separate photo-library picker for scan images. - Resize images to at most 1920 px and iteratively encode JPEG below 1 MB before uploa</t>
        </is>
      </c>
      <c r="I46" s="11" t="inlineStr">
        <is>
          <t>Hoàn thành</t>
        </is>
      </c>
      <c r="J46" s="22" t="n">
        <v>1</v>
      </c>
    </row>
    <row r="47" ht="26" customHeight="1">
      <c r="A47" s="19" t="n">
        <v>43</v>
      </c>
      <c r="B47" s="19" t="inlineStr">
        <is>
          <t>#132</t>
        </is>
      </c>
      <c r="C47" s="8" t="inlineStr">
        <is>
          <t>fix(web): improve empty state handling for movement timeline &amp; history modal</t>
        </is>
      </c>
      <c r="D47" s="19" t="inlineStr">
        <is>
          <t>kiet00394-collab (Tuấn Kiệt)</t>
        </is>
      </c>
      <c r="E47" s="8" t="inlineStr">
        <is>
          <t>fix/issue-76-history-empty-state</t>
        </is>
      </c>
      <c r="F47" s="19" t="inlineStr">
        <is>
          <t>2026-10-21</t>
        </is>
      </c>
      <c r="G47" s="19" t="inlineStr">
        <is>
          <t>#76</t>
        </is>
      </c>
      <c r="H47" s="8" t="inlineStr">
        <is>
          <t>fix(web): improve empty state handling for movement timeline &amp; history modal</t>
        </is>
      </c>
      <c r="I47" s="11" t="inlineStr">
        <is>
          <t>Hoàn thành</t>
        </is>
      </c>
      <c r="J47" s="10" t="n">
        <v>1</v>
      </c>
    </row>
    <row r="48" ht="26" customHeight="1">
      <c r="A48" s="20" t="n">
        <v>44</v>
      </c>
      <c r="B48" s="20" t="inlineStr">
        <is>
          <t>#134</t>
        </is>
      </c>
      <c r="C48" s="21" t="inlineStr">
        <is>
          <t>fix(auth): allow trusted cross-site SPA requests</t>
        </is>
      </c>
      <c r="D48" s="20" t="inlineStr">
        <is>
          <t>kiet00394-collab (Tuấn Kiệt)</t>
        </is>
      </c>
      <c r="E48" s="21" t="inlineStr">
        <is>
          <t>fix/issue-82-trusted-origin-fetch-metadata</t>
        </is>
      </c>
      <c r="F48" s="20" t="inlineStr">
        <is>
          <t>2026-10-21</t>
        </is>
      </c>
      <c r="G48" s="20" t="inlineStr">
        <is>
          <t>#82</t>
        </is>
      </c>
      <c r="H48" s="21" t="inlineStr">
        <is>
          <t>fix(auth): allow trusted cross-site SPA requests: Summary - Stop rejecting state-changing requests solely because Fetch Metadata reports cross-site when the Origin is explicitly allowlisted. - Keep the exact trusted-Origin check a</t>
        </is>
      </c>
      <c r="I48" s="11" t="inlineStr">
        <is>
          <t>Hoàn thành</t>
        </is>
      </c>
      <c r="J48" s="22" t="n">
        <v>1</v>
      </c>
    </row>
    <row r="49" ht="26" customHeight="1">
      <c r="A49" s="19" t="n">
        <v>45</v>
      </c>
      <c r="B49" s="19" t="inlineStr">
        <is>
          <t>#135</t>
        </is>
      </c>
      <c r="C49" s="8" t="inlineStr">
        <is>
          <t>style(web): format source files with oxfmt to satisfy static quality gate</t>
        </is>
      </c>
      <c r="D49" s="19" t="inlineStr">
        <is>
          <t>kiet00394-collab (Tuấn Kiệt)</t>
        </is>
      </c>
      <c r="E49" s="8" t="inlineStr">
        <is>
          <t>fix/ci-code-formatting-oxfmt</t>
        </is>
      </c>
      <c r="F49" s="19" t="inlineStr">
        <is>
          <t>2026-10-21</t>
        </is>
      </c>
      <c r="G49" s="19" t="inlineStr">
        <is>
          <t>-</t>
        </is>
      </c>
      <c r="H49" s="8" t="inlineStr">
        <is>
          <t>style(web): format source files with oxfmt to satisfy static quality gate: Formats web source files with oxfmt to satisfy CI static gate.</t>
        </is>
      </c>
      <c r="I49" s="11" t="inlineStr">
        <is>
          <t>Hoàn thành</t>
        </is>
      </c>
      <c r="J49" s="10" t="n">
        <v>1</v>
      </c>
    </row>
    <row r="50" ht="26" customHeight="1">
      <c r="A50" s="20" t="n">
        <v>46</v>
      </c>
      <c r="B50" s="20" t="inlineStr">
        <is>
          <t>#136</t>
        </is>
      </c>
      <c r="C50" s="21" t="inlineStr">
        <is>
          <t>[SEC-04] tolerate bounded clock skew during session validation</t>
        </is>
      </c>
      <c r="D50" s="20" t="inlineStr">
        <is>
          <t>kiet00394-collab (Tuấn Kiệt)</t>
        </is>
      </c>
      <c r="E50" s="21" t="inlineStr">
        <is>
          <t>fix/issue-81-session-clock-skew</t>
        </is>
      </c>
      <c r="F50" s="20" t="inlineStr">
        <is>
          <t>2026-10-21</t>
        </is>
      </c>
      <c r="G50" s="20" t="inlineStr">
        <is>
          <t>#81</t>
        </is>
      </c>
      <c r="H50" s="21" t="inlineStr">
        <is>
          <t>[SEC-04] tolerate bounded clock skew during session validation: Summary - Tolerate session timestamps up to 10 seconds in the future to absorb distributed clock skew. - Continue failing closed for timestamps more than 10 seconds ahead. - Fix th</t>
        </is>
      </c>
      <c r="I50" s="11" t="inlineStr">
        <is>
          <t>Hoàn thành</t>
        </is>
      </c>
      <c r="J50" s="22" t="n">
        <v>1</v>
      </c>
    </row>
    <row r="51" ht="26" customHeight="1">
      <c r="A51" s="19" t="n">
        <v>47</v>
      </c>
      <c r="B51" s="19" t="inlineStr">
        <is>
          <t>#137</t>
        </is>
      </c>
      <c r="C51" s="8" t="inlineStr">
        <is>
          <t>feat(inventory): stock movement operations consume &amp; discard with ledger consistency (#45)</t>
        </is>
      </c>
      <c r="D51" s="19" t="inlineStr">
        <is>
          <t>UncleYelloow (Huy Hoàng)</t>
        </is>
      </c>
      <c r="E51" s="8" t="inlineStr">
        <is>
          <t>feat/issue-45-stock-movement-ledger</t>
        </is>
      </c>
      <c r="F51" s="19" t="inlineStr">
        <is>
          <t>2026-10-21</t>
        </is>
      </c>
      <c r="G51" s="19" t="inlineStr">
        <is>
          <t>#45</t>
        </is>
      </c>
      <c r="H51" s="8" t="inlineStr">
        <is>
          <t>feat(inventory): stock movement operations consume &amp; discard with ledger consistency (#45): 🎯 Mục tiêu (Objective) Giải quyết Issue 45 ([CAP-04] Stock Movement Operations: Consume &amp; Discard with Ledger Consistency) thuộc Epic 41 (Phase 9): - Thao tác xuất kho (tiêu thụ co</t>
        </is>
      </c>
      <c r="I51" s="11" t="inlineStr">
        <is>
          <t>Hoàn thành</t>
        </is>
      </c>
      <c r="J51" s="10" t="n">
        <v>1</v>
      </c>
    </row>
    <row r="52" ht="26" customHeight="1">
      <c r="A52" s="20" t="n">
        <v>48</v>
      </c>
      <c r="B52" s="20" t="inlineStr">
        <is>
          <t>#138</t>
        </is>
      </c>
      <c r="C52" s="21" t="inlineStr">
        <is>
          <t>refactor(api): replace handcrafted loadEnv file parsing with native Node.js env loading (#103)</t>
        </is>
      </c>
      <c r="D52" s="20" t="inlineStr">
        <is>
          <t>kiet00394-collab (Tuấn Kiệt)</t>
        </is>
      </c>
      <c r="E52" s="21" t="inlineStr">
        <is>
          <t>refactor/pony-05-native-env-loading</t>
        </is>
      </c>
      <c r="F52" s="20" t="inlineStr">
        <is>
          <t>2026-10-21</t>
        </is>
      </c>
      <c r="G52" s="20" t="inlineStr">
        <is>
          <t>#103</t>
        </is>
      </c>
      <c r="H52" s="21" t="inlineStr">
        <is>
          <t>refactor(api): replace handcrafted loadEnv file parsing with native Node.js env loading (#103): Closes 103. Replaces handcrafted .env parsing in connection.mjs and test-dbops.mjs with standard process.loadEnvFile.</t>
        </is>
      </c>
      <c r="I52" s="11" t="inlineStr">
        <is>
          <t>Hoàn thành</t>
        </is>
      </c>
      <c r="J52" s="22" t="n">
        <v>1</v>
      </c>
    </row>
    <row r="53" ht="26" customHeight="1">
      <c r="A53" s="19" t="n">
        <v>49</v>
      </c>
      <c r="B53" s="19" t="inlineStr">
        <is>
          <t>#139</t>
        </is>
      </c>
      <c r="C53" s="8" t="inlineStr">
        <is>
          <t>[PERF-06] throttle session activity writes</t>
        </is>
      </c>
      <c r="D53" s="19" t="inlineStr">
        <is>
          <t>kiet00394-collab (Tuấn Kiệt)</t>
        </is>
      </c>
      <c r="E53" s="8" t="inlineStr">
        <is>
          <t>fix/issue-80-session-touch-throttle</t>
        </is>
      </c>
      <c r="F53" s="19" t="inlineStr">
        <is>
          <t>2026-10-21</t>
        </is>
      </c>
      <c r="G53" s="19" t="inlineStr">
        <is>
          <t>#80</t>
        </is>
      </c>
      <c r="H53" s="8" t="inlineStr">
        <is>
          <t>[PERF-06] throttle session activity writes: Summary - Replace the session row-locking read with a normal SELECT. - Throttle last_seen_at writes to once per 60 seconds using a conditional update to prevent duplicate writes un</t>
        </is>
      </c>
      <c r="I53" s="11" t="inlineStr">
        <is>
          <t>Hoàn thành</t>
        </is>
      </c>
      <c r="J53" s="10" t="n">
        <v>1</v>
      </c>
    </row>
    <row r="54" ht="26" customHeight="1">
      <c r="A54" s="20" t="n">
        <v>50</v>
      </c>
      <c r="B54" s="20" t="inlineStr">
        <is>
          <t>#140</t>
        </is>
      </c>
      <c r="C54" s="21" t="inlineStr">
        <is>
          <t>[BE-09] validate movement quantities against entry units</t>
        </is>
      </c>
      <c r="D54" s="20" t="inlineStr">
        <is>
          <t>kiet00394-collab (Tuấn Kiệt)</t>
        </is>
      </c>
      <c r="E54" s="21" t="inlineStr">
        <is>
          <t>fix/issue-79-unit-quantity-validation</t>
        </is>
      </c>
      <c r="F54" s="20" t="inlineStr">
        <is>
          <t>2026-10-21</t>
        </is>
      </c>
      <c r="G54" s="20" t="inlineStr">
        <is>
          <t>#79</t>
        </is>
      </c>
      <c r="H54" s="21" t="inlineStr">
        <is>
          <t>[BE-09] validate movement quantities against entry units: Summary - Use unit-agnostic decimal parsing before computing the idempotency fingerprint; validate piece precision after locking the entry and reading its actual unit. - Add full-s</t>
        </is>
      </c>
      <c r="I54" s="11" t="inlineStr">
        <is>
          <t>Hoàn thành</t>
        </is>
      </c>
      <c r="J54" s="22" t="n">
        <v>1</v>
      </c>
    </row>
    <row r="55" ht="26" customHeight="1">
      <c r="A55" s="19" t="n">
        <v>51</v>
      </c>
      <c r="B55" s="19" t="inlineStr">
        <is>
          <t>#141</t>
        </is>
      </c>
      <c r="C55" s="8" t="inlineStr">
        <is>
          <t>[FE-10] add typed mutation methods to ApiClient</t>
        </is>
      </c>
      <c r="D55" s="19" t="inlineStr">
        <is>
          <t>kiet00394-collab (Tuấn Kiệt)</t>
        </is>
      </c>
      <c r="E55" s="8" t="inlineStr">
        <is>
          <t>fix/issue-75-api-client-mutations</t>
        </is>
      </c>
      <c r="F55" s="19" t="inlineStr">
        <is>
          <t>2026-10-21</t>
        </is>
      </c>
      <c r="G55" s="19" t="inlineStr">
        <is>
          <t>#75</t>
        </is>
      </c>
      <c r="H55" s="8" t="inlineStr">
        <is>
          <t>[FE-10] add typed mutation methods to ApiClient: Summary - Add exported request/response DTO types and first-class typed mutation methods to ApiClient. - Centralize URL construction, payload serialization, CSRF and Idempotency-Ke</t>
        </is>
      </c>
      <c r="I55" s="11" t="inlineStr">
        <is>
          <t>Hoàn thành</t>
        </is>
      </c>
      <c r="J55" s="10" t="n">
        <v>1</v>
      </c>
    </row>
    <row r="56" ht="26" customHeight="1">
      <c r="A56" s="20" t="n">
        <v>52</v>
      </c>
      <c r="B56" s="20" t="inlineStr">
        <is>
          <t>#142</t>
        </is>
      </c>
      <c r="C56" s="21" t="inlineStr">
        <is>
          <t>ops(db): decouple migration scripts from local docker exec (#92)</t>
        </is>
      </c>
      <c r="D56" s="20" t="inlineStr">
        <is>
          <t>kiet00394-collab (Tuấn Kiệt)</t>
        </is>
      </c>
      <c r="E56" s="21" t="inlineStr">
        <is>
          <t>ops/issue-92-decouple-migrations</t>
        </is>
      </c>
      <c r="F56" s="20" t="inlineStr">
        <is>
          <t>2026-10-21</t>
        </is>
      </c>
      <c r="G56" s="20" t="inlineStr">
        <is>
          <t>#92</t>
        </is>
      </c>
      <c r="H56" s="21" t="inlineStr">
        <is>
          <t>ops(db): decouple migration scripts from local docker exec (#92): Closes 92. Closes 87. Adds direct TCP support for migrations, fallback from docker exec, and db:migrate script.</t>
        </is>
      </c>
      <c r="I56" s="11" t="inlineStr">
        <is>
          <t>Hoàn thành</t>
        </is>
      </c>
      <c r="J56" s="22" t="n">
        <v>1</v>
      </c>
    </row>
    <row r="57" ht="26" customHeight="1">
      <c r="A57" s="19" t="n">
        <v>53</v>
      </c>
      <c r="B57" s="19" t="inlineStr">
        <is>
          <t>#143</t>
        </is>
      </c>
      <c r="C57" s="8" t="inlineStr">
        <is>
          <t>perf(api): optimize movements pagination, entry detail joined preferences, and count query (#63, #64, #65)</t>
        </is>
      </c>
      <c r="D57" s="19" t="inlineStr">
        <is>
          <t>kiet00394-collab (Tuấn Kiệt)</t>
        </is>
      </c>
      <c r="E57" s="8" t="inlineStr">
        <is>
          <t>perf/issues-63-64-65-backend-query-optimization</t>
        </is>
      </c>
      <c r="F57" s="19" t="inlineStr">
        <is>
          <t>2026-10-21</t>
        </is>
      </c>
      <c r="G57" s="19" t="inlineStr">
        <is>
          <t>#63</t>
        </is>
      </c>
      <c r="H57" s="8" t="inlineStr">
        <is>
          <t>perf(api): optimize movements pagination, entry detail joined preferences, and count query (#63, #64, #65): Closes 63. Closes 64. Closes 65. Pushes down LIMIT/OFFSET to stock_movements query, joins user preferences for entry detail, and eliminates CTE for inventory list count without att</t>
        </is>
      </c>
      <c r="I57" s="11" t="inlineStr">
        <is>
          <t>Hoàn thành</t>
        </is>
      </c>
      <c r="J57" s="10" t="n">
        <v>1</v>
      </c>
    </row>
    <row r="58" ht="26" customHeight="1">
      <c r="A58" s="20" t="n">
        <v>54</v>
      </c>
      <c r="B58" s="20" t="inlineStr">
        <is>
          <t>#144</t>
        </is>
      </c>
      <c r="C58" s="21" t="inlineStr">
        <is>
          <t>feat(inventory): owned inventory &amp; attention status engine with dynam…</t>
        </is>
      </c>
      <c r="D58" s="20" t="inlineStr">
        <is>
          <t>UncleYelloow (Huy Hoàng)</t>
        </is>
      </c>
      <c r="E58" s="21" t="inlineStr">
        <is>
          <t>feat/issue-43-inventory-attention-engine</t>
        </is>
      </c>
      <c r="F58" s="20" t="inlineStr">
        <is>
          <t>2026-10-21</t>
        </is>
      </c>
      <c r="G58" s="20" t="inlineStr">
        <is>
          <t>#43</t>
        </is>
      </c>
      <c r="H58" s="21" t="inlineStr">
        <is>
          <t>feat(inventory): owned inventory &amp; attention status engine with dynam…: …ic timezone projection (43)</t>
        </is>
      </c>
      <c r="I58" s="11" t="inlineStr">
        <is>
          <t>Hoàn thành</t>
        </is>
      </c>
      <c r="J58" s="22" t="n">
        <v>1</v>
      </c>
    </row>
    <row r="59" ht="26" customHeight="1">
      <c r="A59" s="19" t="n">
        <v>55</v>
      </c>
      <c r="B59" s="19" t="inlineStr">
        <is>
          <t>#145</t>
        </is>
      </c>
      <c r="C59" s="8" t="inlineStr">
        <is>
          <t>ci: sync verified quality gate status for legacy commits</t>
        </is>
      </c>
      <c r="D59" s="19" t="inlineStr">
        <is>
          <t>kiet00394-collab (Tuấn Kiệt)</t>
        </is>
      </c>
      <c r="E59" s="8" t="inlineStr">
        <is>
          <t>ci/mark-legacy-commits-green</t>
        </is>
      </c>
      <c r="F59" s="19" t="inlineStr">
        <is>
          <t>2026-10-21</t>
        </is>
      </c>
      <c r="G59" s="19" t="inlineStr">
        <is>
          <t>-</t>
        </is>
      </c>
      <c r="H59" s="8" t="inlineStr">
        <is>
          <t>ci: sync verified quality gate status for legacy commits: Adds step to CI pipeline to ensure verified quality gate checks are reported for legacy commits.</t>
        </is>
      </c>
      <c r="I59" s="11" t="inlineStr">
        <is>
          <t>Hoàn thành</t>
        </is>
      </c>
      <c r="J59" s="10" t="n">
        <v>1</v>
      </c>
    </row>
    <row r="60" ht="26" customHeight="1">
      <c r="A60" s="20" t="n">
        <v>56</v>
      </c>
      <c r="B60" s="20" t="inlineStr">
        <is>
          <t>#146</t>
        </is>
      </c>
      <c r="C60" s="21" t="inlineStr">
        <is>
          <t>ci: sync verified quality gate status for commit 0f1070a</t>
        </is>
      </c>
      <c r="D60" s="20" t="inlineStr">
        <is>
          <t>kiet00394-collab (Tuấn Kiệt)</t>
        </is>
      </c>
      <c r="E60" s="21" t="inlineStr">
        <is>
          <t>ci/sync-commit-0f1070a</t>
        </is>
      </c>
      <c r="F60" s="20" t="inlineStr">
        <is>
          <t>2026-10-21</t>
        </is>
      </c>
      <c r="G60" s="20" t="inlineStr">
        <is>
          <t>-</t>
        </is>
      </c>
      <c r="H60" s="21" t="inlineStr">
        <is>
          <t>ci: sync verified quality gate status for commit 0f1070a: Syncs quality gate checks for commit 0f1070a.</t>
        </is>
      </c>
      <c r="I60" s="11" t="inlineStr">
        <is>
          <t>Hoàn thành</t>
        </is>
      </c>
      <c r="J60" s="22" t="n">
        <v>1</v>
      </c>
    </row>
    <row r="61" ht="26" customHeight="1">
      <c r="A61" s="19" t="n">
        <v>57</v>
      </c>
      <c r="B61" s="19" t="inlineStr">
        <is>
          <t>#147</t>
        </is>
      </c>
      <c r="C61" s="8" t="inlineStr">
        <is>
          <t>perf(web): eliminate frontend waterfall fan-out and all-pages fetching in useExpiry (#62)</t>
        </is>
      </c>
      <c r="D61" s="19" t="inlineStr">
        <is>
          <t>kiet00394-collab (Tuấn Kiệt)</t>
        </is>
      </c>
      <c r="E61" s="8" t="inlineStr">
        <is>
          <t>perf/issue-62-frontend-waterfall-elimination</t>
        </is>
      </c>
      <c r="F61" s="19" t="inlineStr">
        <is>
          <t>2026-10-21</t>
        </is>
      </c>
      <c r="G61" s="19" t="inlineStr">
        <is>
          <t>#62</t>
        </is>
      </c>
      <c r="H61" s="8" t="inlineStr">
        <is>
          <t>perf(web): eliminate frontend waterfall fan-out and all-pages fetching in useExpiry (#62): Closes 62. Closes 61. Eliminates redundant allEntries loop calls on filter change and optimizes history fetching.</t>
        </is>
      </c>
      <c r="I61" s="11" t="inlineStr">
        <is>
          <t>Hoàn thành</t>
        </is>
      </c>
      <c r="J61" s="10" t="n">
        <v>1</v>
      </c>
    </row>
    <row r="62" ht="26" customHeight="1">
      <c r="A62" s="20" t="n">
        <v>58</v>
      </c>
      <c r="B62" s="20" t="inlineStr">
        <is>
          <t>#148</t>
        </is>
      </c>
      <c r="C62" s="21" t="inlineStr">
        <is>
          <t>feat(web): add debounce to inventory search input (#73)</t>
        </is>
      </c>
      <c r="D62" s="20" t="inlineStr">
        <is>
          <t>kiet00394-collab (Tuấn Kiệt)</t>
        </is>
      </c>
      <c r="E62" s="21" t="inlineStr">
        <is>
          <t>feat/issue-73-search-debounce</t>
        </is>
      </c>
      <c r="F62" s="20" t="inlineStr">
        <is>
          <t>2026-10-21</t>
        </is>
      </c>
      <c r="G62" s="20" t="inlineStr">
        <is>
          <t>#73</t>
        </is>
      </c>
      <c r="H62" s="21" t="inlineStr">
        <is>
          <t>feat(web): add debounce to inventory search input (#73): Closes 73. Adds 300ms debounce to search input in Inventory.tsx to prevent network storms.</t>
        </is>
      </c>
      <c r="I62" s="11" t="inlineStr">
        <is>
          <t>Hoàn thành</t>
        </is>
      </c>
      <c r="J62" s="22" t="n">
        <v>1</v>
      </c>
    </row>
    <row r="63" ht="26" customHeight="1">
      <c r="A63" s="19" t="n">
        <v>59</v>
      </c>
      <c r="B63" s="19" t="inlineStr">
        <is>
          <t>#149</t>
        </is>
      </c>
      <c r="C63" s="8" t="inlineStr">
        <is>
          <t>refactor(web): replace 365-line portal select with native HTML select element (#100)</t>
        </is>
      </c>
      <c r="D63" s="19" t="inlineStr">
        <is>
          <t>kiet00394-collab (Tuấn Kiệt)</t>
        </is>
      </c>
      <c r="E63" s="8" t="inlineStr">
        <is>
          <t>refactor/pony-02-native-select</t>
        </is>
      </c>
      <c r="F63" s="19" t="inlineStr">
        <is>
          <t>2026-10-21</t>
        </is>
      </c>
      <c r="G63" s="19" t="inlineStr">
        <is>
          <t>#100</t>
        </is>
      </c>
      <c r="H63" s="8" t="inlineStr">
        <is>
          <t>refactor(web): replace 365-line portal select with native HTML select element (#100): Resolves 100 by replacing over-engineered 365-line portal combobox in Select.tsx with styled native HTML &lt;select&gt; element.</t>
        </is>
      </c>
      <c r="I63" s="11" t="inlineStr">
        <is>
          <t>Hoàn thành</t>
        </is>
      </c>
      <c r="J63" s="10" t="n">
        <v>1</v>
      </c>
    </row>
    <row r="64" ht="26" customHeight="1">
      <c r="A64" s="20" t="n">
        <v>60</v>
      </c>
      <c r="B64" s="20" t="inlineStr">
        <is>
          <t>#150</t>
        </is>
      </c>
      <c r="C64" s="21" t="inlineStr">
        <is>
          <t>refactor(web): replace 708-line datepicker with native input type=date (#99)</t>
        </is>
      </c>
      <c r="D64" s="20" t="inlineStr">
        <is>
          <t>kiet00394-collab (Tuấn Kiệt)</t>
        </is>
      </c>
      <c r="E64" s="21" t="inlineStr">
        <is>
          <t>refactor/pony-01-native-datepicker</t>
        </is>
      </c>
      <c r="F64" s="20" t="inlineStr">
        <is>
          <t>2026-10-21</t>
        </is>
      </c>
      <c r="G64" s="20" t="inlineStr">
        <is>
          <t>#99</t>
        </is>
      </c>
      <c r="H64" s="21" t="inlineStr">
        <is>
          <t>refactor(web): replace 708-line datepicker with native input type=date (#99): Resolves 99 by replacing 708-line over-engineered DatePicker with lean native HTML5 input type=date wrapper and showPicker() API.</t>
        </is>
      </c>
      <c r="I64" s="11" t="inlineStr">
        <is>
          <t>Hoàn thành</t>
        </is>
      </c>
      <c r="J64" s="22" t="n">
        <v>1</v>
      </c>
    </row>
    <row r="65" ht="26" customHeight="1">
      <c r="A65" s="19" t="n">
        <v>61</v>
      </c>
      <c r="B65" s="19" t="inlineStr">
        <is>
          <t>#151</t>
        </is>
      </c>
      <c r="C65" s="8" t="inlineStr">
        <is>
          <t>feat(barcode): add barcode scanner modal, GS1 disambiguation, and database support</t>
        </is>
      </c>
      <c r="D65" s="19" t="inlineStr">
        <is>
          <t>tducn110 (Leader)</t>
        </is>
      </c>
      <c r="E65" s="8" t="inlineStr">
        <is>
          <t>feature/barcode</t>
        </is>
      </c>
      <c r="F65" s="19" t="inlineStr">
        <is>
          <t>2026-10-21</t>
        </is>
      </c>
      <c r="G65" s="19" t="inlineStr">
        <is>
          <t>-</t>
        </is>
      </c>
      <c r="H65" s="8" t="inlineStr">
        <is>
          <t>feat(barcode): add barcode scanner modal, GS1 disambiguation, and database support: Summary of Changes - Barcode Scanner Modal: In-browser camera barcode detection with ZXing and Native BarcodeDetector API. - GS1 Disambiguation &amp; Local Lookup: Automatically disamb</t>
        </is>
      </c>
      <c r="I65" s="11" t="inlineStr">
        <is>
          <t>Hoàn thành</t>
        </is>
      </c>
      <c r="J65" s="10" t="n">
        <v>1</v>
      </c>
    </row>
    <row r="66" ht="26" customHeight="1">
      <c r="A66" s="20" t="n">
        <v>62</v>
      </c>
      <c r="B66" s="20" t="inlineStr">
        <is>
          <t>#152</t>
        </is>
      </c>
      <c r="C66" s="21" t="inlineStr">
        <is>
          <t>feat(capture): manual capture form &amp; create outcome boundary (#42)</t>
        </is>
      </c>
      <c r="D66" s="20" t="inlineStr">
        <is>
          <t>UncleYelloow (Huy Hoàng)</t>
        </is>
      </c>
      <c r="E66" s="21" t="inlineStr">
        <is>
          <t>feat/issue-42-manual-capture-form</t>
        </is>
      </c>
      <c r="F66" s="20" t="inlineStr">
        <is>
          <t>2026-10-21</t>
        </is>
      </c>
      <c r="G66" s="20" t="inlineStr">
        <is>
          <t>#42</t>
        </is>
      </c>
      <c r="H66" s="21" t="inlineStr">
        <is>
          <t>feat(capture): manual capture form &amp; create outcome boundary (#42): Parent Epic: 41  Specification: .tmb/tasks/CAP-01/SPEC.md  Resolves: 42</t>
        </is>
      </c>
      <c r="I66" s="11" t="inlineStr">
        <is>
          <t>Hoàn thành</t>
        </is>
      </c>
      <c r="J66" s="22" t="n">
        <v>1</v>
      </c>
    </row>
    <row r="67" ht="26" customHeight="1">
      <c r="A67" s="19" t="n">
        <v>63</v>
      </c>
      <c r="B67" s="19" t="inlineStr">
        <is>
          <t>#153</t>
        </is>
      </c>
      <c r="C67" s="8" t="inlineStr">
        <is>
          <t>perf(web): eliminate unbounded allEntries while loop in useExpiry (#72)</t>
        </is>
      </c>
      <c r="D67" s="19" t="inlineStr">
        <is>
          <t>tducn110 (Leader)</t>
        </is>
      </c>
      <c r="E67" s="8" t="inlineStr">
        <is>
          <t>perf/issue-72-eliminate-all-entries-loop</t>
        </is>
      </c>
      <c r="F67" s="19" t="inlineStr">
        <is>
          <t>2026-10-21</t>
        </is>
      </c>
      <c r="G67" s="19" t="inlineStr">
        <is>
          <t>#72</t>
        </is>
      </c>
      <c r="H67" s="8" t="inlineStr">
        <is>
          <t>perf(web): eliminate unbounded allEntries while loop in useExpiry (#72)</t>
        </is>
      </c>
      <c r="I67" s="11" t="inlineStr">
        <is>
          <t>Hoàn thành</t>
        </is>
      </c>
      <c r="J67" s="10" t="n">
        <v>1</v>
      </c>
    </row>
    <row r="68" ht="26" customHeight="1">
      <c r="A68" s="20" t="n">
        <v>64</v>
      </c>
      <c r="B68" s="20" t="inlineStr">
        <is>
          <t>#155</t>
        </is>
      </c>
      <c r="C68" s="21" t="inlineStr">
        <is>
          <t>refactor(web): consolidate isDemo branching in App.tsx via polymorphic hook (#102)</t>
        </is>
      </c>
      <c r="D68" s="20" t="inlineStr">
        <is>
          <t>tducn110 (Leader)</t>
        </is>
      </c>
      <c r="E68" s="21" t="inlineStr">
        <is>
          <t>refactor/pony-04-polymorphic-api-client</t>
        </is>
      </c>
      <c r="F68" s="20" t="inlineStr">
        <is>
          <t>2026-10-21</t>
        </is>
      </c>
      <c r="G68" s="20" t="inlineStr">
        <is>
          <t>#102</t>
        </is>
      </c>
      <c r="H68" s="21" t="inlineStr">
        <is>
          <t>refactor(web): consolidate isDemo branching in App.tsx via polymorphic hook (#102): Summary - Introduce useDemoExpiry hook exposing uniform API mutation methods wrapping mockApi. - Consolidate dual-mode (isDemo vs real API) in App.tsx so all mutation handlers invo</t>
        </is>
      </c>
      <c r="I68" s="11" t="inlineStr">
        <is>
          <t>Hoàn thành</t>
        </is>
      </c>
      <c r="J68" s="22" t="n">
        <v>1</v>
      </c>
    </row>
    <row r="69" ht="26" customHeight="1">
      <c r="A69" s="19" t="n">
        <v>65</v>
      </c>
      <c r="B69" s="19" t="inlineStr">
        <is>
          <t>#156</t>
        </is>
      </c>
      <c r="C69" s="8" t="inlineStr">
        <is>
          <t>test(api): close connection pools in test.after hook</t>
        </is>
      </c>
      <c r="D69" s="19" t="inlineStr">
        <is>
          <t>tducn110 (Leader)</t>
        </is>
      </c>
      <c r="E69" s="8" t="inlineStr">
        <is>
          <t>fix/api-test-close-connection-pools</t>
        </is>
      </c>
      <c r="F69" s="19" t="inlineStr">
        <is>
          <t>2026-10-22</t>
        </is>
      </c>
      <c r="G69" s="19" t="inlineStr">
        <is>
          <t>-</t>
        </is>
      </c>
      <c r="H69" s="8" t="inlineStr">
        <is>
          <t>test(api): close connection pools in test.after hook: Summary - Call closePools() in test.after hook within apps/api/tests/api.test.mjs to cleanly release pooled database connections when the test suite concludes.</t>
        </is>
      </c>
      <c r="I69" s="11" t="inlineStr">
        <is>
          <t>Hoàn thành</t>
        </is>
      </c>
      <c r="J69" s="10" t="n">
        <v>1</v>
      </c>
    </row>
    <row r="70" ht="26" customHeight="1">
      <c r="A70" s="20" t="n">
        <v>66</v>
      </c>
      <c r="B70" s="20" t="inlineStr">
        <is>
          <t>#158</t>
        </is>
      </c>
      <c r="C70" s="21" t="inlineStr">
        <is>
          <t>merge: reconcile main ancestry into develop</t>
        </is>
      </c>
      <c r="D70" s="20" t="inlineStr">
        <is>
          <t>tducn110 (Leader)</t>
        </is>
      </c>
      <c r="E70" s="21" t="inlineStr">
        <is>
          <t>codex/reconcile-develop-main-20261022</t>
        </is>
      </c>
      <c r="F70" s="20" t="inlineStr">
        <is>
          <t>2026-10-22</t>
        </is>
      </c>
      <c r="G70" s="20" t="inlineStr">
        <is>
          <t>-</t>
        </is>
      </c>
      <c r="H70" s="21" t="inlineStr">
        <is>
          <t xml:space="preserve">merge: reconcile main ancestry into develop: PR 157 cannot merge develop into main because main repeats the content of historical develop commit 7ee37d6 under different commit IDs. This records main ancestry while preserving </t>
        </is>
      </c>
      <c r="I70" s="11" t="inlineStr">
        <is>
          <t>Hoàn thành</t>
        </is>
      </c>
      <c r="J70" s="22" t="n">
        <v>1</v>
      </c>
    </row>
    <row r="71">
      <c r="A71" s="20" t="n">
        <v>67</v>
      </c>
      <c r="B71" s="20" t="inlineStr">
        <is>
          <t>#161</t>
        </is>
      </c>
      <c r="C71" s="21" t="inlineStr">
        <is>
          <t>feat(web): migrate UI to modern design system and fix responsive layout</t>
        </is>
      </c>
      <c r="D71" s="20" t="inlineStr">
        <is>
          <t>tducn110 (Leader)</t>
        </is>
      </c>
      <c r="E71" s="21" t="inlineStr">
        <is>
          <t>feat/migrated-responsive-ui</t>
        </is>
      </c>
      <c r="F71" s="20" t="inlineStr">
        <is>
          <t>2026-10-24</t>
        </is>
      </c>
      <c r="G71" s="20" t="inlineStr">
        <is>
          <t>-</t>
        </is>
      </c>
      <c r="H71" s="21" t="inlineStr">
        <is>
          <t>Đại tu và hiện đại hóa toàn diện giao diện Frontend Web: Chuyển đổi sang hệ thống thiết kế hiện đại (Design System tokens), khắc phục lỗi responsive màn hình hẹp/mobile, thiết lập thanh điều hướng Sidebar desktop 72px và Bottom Bar mobile 56px, chuẩn hóa scale container/typography Tailwind v4, bổ sung test suite 59 unit/integration tests với Vitest.</t>
        </is>
      </c>
      <c r="I71" s="11" t="inlineStr">
        <is>
          <t>Hoàn thành</t>
        </is>
      </c>
      <c r="J71" s="22" t="n">
        <v>1</v>
      </c>
    </row>
    <row r="72">
      <c r="A72" s="33" t="n">
        <v>68</v>
      </c>
      <c r="B72" s="33" t="inlineStr">
        <is>
          <t>#172</t>
        </is>
      </c>
      <c r="C72" s="32" t="inlineStr">
        <is>
          <t>feat(core): implement category taxonomy, storage hub view, insight analytics, and active tunnel routing</t>
        </is>
      </c>
      <c r="D72" s="35" t="inlineStr">
        <is>
          <t>tducn110 (Leader)</t>
        </is>
      </c>
      <c r="E72" s="34" t="inlineStr">
        <is>
          <t>feat/category-storage-insight-tunnel</t>
        </is>
      </c>
      <c r="F72" s="35" t="inlineStr">
        <is>
          <t>2026-10-28</t>
        </is>
      </c>
      <c r="G72" s="34" t="inlineStr">
        <is>
          <t>-</t>
        </is>
      </c>
      <c r="H72" s="32" t="inlineStr">
        <is>
          <t>Triển khai phân loại 7 nhóm thực phẩm, màn hình Storage Hub trực quan hóa 4 vị trí lưu trữ, màn hình Insight phân tích thống kê và định tuyến tunnel URL.</t>
        </is>
      </c>
      <c r="I72" s="33" t="inlineStr">
        <is>
          <t>Hoàn thành</t>
        </is>
      </c>
      <c r="J72" s="36" t="n">
        <v>1</v>
      </c>
    </row>
    <row r="73">
      <c r="A73" s="33" t="n">
        <v>69</v>
      </c>
      <c r="B73" s="33" t="inlineStr">
        <is>
          <t>#174</t>
        </is>
      </c>
      <c r="C73" s="32" t="inlineStr">
        <is>
          <t>style(web): format code with oxfmt and fix type definitions</t>
        </is>
      </c>
      <c r="D73" s="35" t="inlineStr">
        <is>
          <t>tducn110 (Leader)</t>
        </is>
      </c>
      <c r="E73" s="34" t="inlineStr">
        <is>
          <t>fix/oxfmt-formatting-gates</t>
        </is>
      </c>
      <c r="F73" s="35" t="inlineStr">
        <is>
          <t>2026-10-28</t>
        </is>
      </c>
      <c r="G73" s="34" t="inlineStr">
        <is>
          <t>-</t>
        </is>
      </c>
      <c r="H73" s="32" t="inlineStr">
        <is>
          <t>Định dạng lại toàn bộ mã nguồn frontend web bằng oxfmt, sửa các lỗi cú pháp TypeScript interface và đảm bảo CI quality gate đạt 100%.</t>
        </is>
      </c>
      <c r="I73" s="33" t="inlineStr">
        <is>
          <t>Hoàn thành</t>
        </is>
      </c>
      <c r="J73" s="36" t="n">
        <v>1</v>
      </c>
    </row>
    <row r="74">
      <c r="A74" s="33" t="n">
        <v>70</v>
      </c>
      <c r="B74" s="33" t="inlineStr">
        <is>
          <t>#177</t>
        </is>
      </c>
      <c r="C74" s="32" t="inlineStr">
        <is>
          <t>feat(web): add collapsible dashboard navigation and clean oxfmt type interfaces</t>
        </is>
      </c>
      <c r="D74" s="35" t="inlineStr">
        <is>
          <t>tducn110 (Leader)</t>
        </is>
      </c>
      <c r="E74" s="34" t="inlineStr">
        <is>
          <t>fix/collapsible-dashboard-and-oxfmt-cleanup</t>
        </is>
      </c>
      <c r="F74" s="35" t="inlineStr">
        <is>
          <t>2026-10-28</t>
        </is>
      </c>
      <c r="G74" s="34" t="inlineStr">
        <is>
          <t>-</t>
        </is>
      </c>
      <c r="H74" s="32" t="inlineStr">
        <is>
          <t>Thêm thanh điều hướng Sidebar có thể thu gọn (collapsible), dọn dẹp các khai báo thừa và chuẩn hóa tương thích oxfmt.</t>
        </is>
      </c>
      <c r="I74" s="33" t="inlineStr">
        <is>
          <t>Hoàn thành</t>
        </is>
      </c>
      <c r="J74" s="36" t="n">
        <v>1</v>
      </c>
    </row>
    <row r="75">
      <c r="A75" s="33" t="n">
        <v>71</v>
      </c>
      <c r="B75" s="33" t="inlineStr">
        <is>
          <t>#178</t>
        </is>
      </c>
      <c r="C75" s="32" t="inlineStr">
        <is>
          <t>feat(web): integrate @vercel/analytics and @vercel/speed-insights</t>
        </is>
      </c>
      <c r="D75" s="35" t="inlineStr">
        <is>
          <t>tducn110 (Leader)</t>
        </is>
      </c>
      <c r="E75" s="34" t="inlineStr">
        <is>
          <t>feat/vercel-analytics-speed-insights</t>
        </is>
      </c>
      <c r="F75" s="35" t="inlineStr">
        <is>
          <t>2026-10-28</t>
        </is>
      </c>
      <c r="G75" s="34" t="inlineStr">
        <is>
          <t>-</t>
        </is>
      </c>
      <c r="H75" s="32" t="inlineStr">
        <is>
          <t>Tích hợp thư viện @vercel/analytics và @vercel/speed-insights cho ứng dụng React SPA để đo lường hiệu năng Core Web Vitals và lượt truy cập thực tế.</t>
        </is>
      </c>
      <c r="I75" s="33" t="inlineStr">
        <is>
          <t>Hoàn thành</t>
        </is>
      </c>
      <c r="J75" s="36" t="n">
        <v>1</v>
      </c>
    </row>
    <row r="76">
      <c r="A76" s="33" t="n">
        <v>72</v>
      </c>
      <c r="B76" s="33" t="inlineStr">
        <is>
          <t>#180</t>
        </is>
      </c>
      <c r="C76" s="32" t="inlineStr">
        <is>
          <t>fix(web): resolve analytics empty states, smart advice icons, and storage view icon consistency</t>
        </is>
      </c>
      <c r="D76" s="35" t="inlineStr">
        <is>
          <t>tducn110 (Leader)</t>
        </is>
      </c>
      <c r="E76" s="34" t="inlineStr">
        <is>
          <t>fix/ui-ux-analytics-and-icon-consistency</t>
        </is>
      </c>
      <c r="F76" s="35" t="inlineStr">
        <is>
          <t>2026-10-28</t>
        </is>
      </c>
      <c r="G76" s="34" t="inlineStr">
        <is>
          <t>-</t>
        </is>
      </c>
      <c r="H76" s="32" t="inlineStr">
        <is>
          <t>Sửa trạng thái trống (empty state) cho màn hình analytics, chuẩn hóa icon lời khuyên thông minh và đồng bộ icon khu vực lưu trữ trên StorageView.</t>
        </is>
      </c>
      <c r="I76" s="33" t="inlineStr">
        <is>
          <t>Hoàn thành</t>
        </is>
      </c>
      <c r="J76" s="36" t="n">
        <v>1</v>
      </c>
    </row>
    <row r="77">
      <c r="A77" s="33" t="n">
        <v>73</v>
      </c>
      <c r="B77" s="33" t="inlineStr">
        <is>
          <t>#187</t>
        </is>
      </c>
      <c r="C77" s="32" t="inlineStr">
        <is>
          <t>fix: resolve bugs BUG-01 to BUG-07</t>
        </is>
      </c>
      <c r="D77" s="35" t="inlineStr">
        <is>
          <t>UncleYelloow</t>
        </is>
      </c>
      <c r="E77" s="34" t="inlineStr">
        <is>
          <t>fix/resolve-bugs-01-07</t>
        </is>
      </c>
      <c r="F77" s="35" t="inlineStr">
        <is>
          <t>2026-10-29</t>
        </is>
      </c>
      <c r="G77" s="34" t="inlineStr">
        <is>
          <t>#170, #171, #181, #182, #183, #184, #186</t>
        </is>
      </c>
      <c r="H77" s="32" t="inlineStr">
        <is>
          <t>Khắc phục triệt để toàn bộ 7 lỗi backend integration phát hiện trên Live server: kết nối auth API, lưu thực phẩm, ghi nhận sổ cái biến động kho, gọi dịch vụ OCR camera và khôi phục thùng rác.</t>
        </is>
      </c>
      <c r="I77" s="33" t="inlineStr">
        <is>
          <t>Hoàn thành</t>
        </is>
      </c>
      <c r="J77" s="36" t="n">
        <v>1</v>
      </c>
    </row>
    <row r="78">
      <c r="A78" s="33" t="n">
        <v>74</v>
      </c>
      <c r="B78" s="33" t="inlineStr">
        <is>
          <t>#188</t>
        </is>
      </c>
      <c r="C78" s="32" t="inlineStr">
        <is>
          <t>merge: reconcile main ancestry into develop</t>
        </is>
      </c>
      <c r="D78" s="35" t="inlineStr">
        <is>
          <t>UncleYelloow</t>
        </is>
      </c>
      <c r="E78" s="34" t="inlineStr">
        <is>
          <t>reconcile/sync-main-into-develop</t>
        </is>
      </c>
      <c r="F78" s="35" t="inlineStr">
        <is>
          <t>2026-10-29</t>
        </is>
      </c>
      <c r="G78" s="34" t="inlineStr">
        <is>
          <t>-</t>
        </is>
      </c>
      <c r="H78" s="32" t="inlineStr">
        <is>
          <t>Đồng bộ nhánh main vào nhánh develop, hợp nhất lịch sử commit và bảo đảm develop kế thừa đầy đủ mọi commit của main.</t>
        </is>
      </c>
      <c r="I78" s="33" t="inlineStr">
        <is>
          <t>Hoàn thành</t>
        </is>
      </c>
      <c r="J78" s="36" t="n">
        <v>1</v>
      </c>
    </row>
    <row r="79">
      <c r="A79" s="33" t="n">
        <v>75</v>
      </c>
      <c r="B79" s="33" t="inlineStr">
        <is>
          <t>#189</t>
        </is>
      </c>
      <c r="C79" s="32" t="inlineStr">
        <is>
          <t>fix(web): resolve Vite 8 configuration deprecation warnings (#169)</t>
        </is>
      </c>
      <c r="D79" s="35" t="inlineStr">
        <is>
          <t>kiet00394-collab</t>
        </is>
      </c>
      <c r="E79" s="34" t="inlineStr">
        <is>
          <t>fix/issue-169-vite8-deprecation-warnings</t>
        </is>
      </c>
      <c r="F79" s="35" t="inlineStr">
        <is>
          <t>2026-10-29</t>
        </is>
      </c>
      <c r="G79" s="34" t="inlineStr">
        <is>
          <t>#169</t>
        </is>
      </c>
      <c r="H79" s="32" t="inlineStr">
        <is>
          <t>Khắc phục các cảnh báo deprecation trong file cấu hình vite.config.ts khi chạy với Vite 8.</t>
        </is>
      </c>
      <c r="I79" s="33" t="inlineStr">
        <is>
          <t>Hoàn thành</t>
        </is>
      </c>
      <c r="J79" s="36" t="n">
        <v>1</v>
      </c>
    </row>
    <row r="80">
      <c r="A80" s="33" t="n">
        <v>76</v>
      </c>
      <c r="B80" s="33" t="inlineStr">
        <is>
          <t>#190</t>
        </is>
      </c>
      <c r="C80" s="32" t="inlineStr">
        <is>
          <t>perf(api): push pagination parameters into SQL query for stock movements (#168)</t>
        </is>
      </c>
      <c r="D80" s="35" t="inlineStr">
        <is>
          <t>kiet00394-collab</t>
        </is>
      </c>
      <c r="E80" s="34" t="inlineStr">
        <is>
          <t>fix/issue-168-push-pagination-sql-stock-movements</t>
        </is>
      </c>
      <c r="F80" s="35" t="inlineStr">
        <is>
          <t>2026-10-29</t>
        </is>
      </c>
      <c r="G80" s="34" t="inlineStr">
        <is>
          <t>#168</t>
        </is>
      </c>
      <c r="H80" s="32" t="inlineStr">
        <is>
          <t>Tối ưu hóa hiệu năng API lịch sử kho bằng cách đẩy tham số LIMIT và OFFSET vào câu lệnh SQL truy vấn MySQL.</t>
        </is>
      </c>
      <c r="I80" s="33" t="inlineStr">
        <is>
          <t>Hoàn thành</t>
        </is>
      </c>
      <c r="J80" s="36" t="n">
        <v>1</v>
      </c>
    </row>
    <row r="81">
      <c r="A81" s="33" t="n">
        <v>77</v>
      </c>
      <c r="B81" s="33" t="inlineStr">
        <is>
          <t>#191</t>
        </is>
      </c>
      <c r="C81" s="32" t="inlineStr">
        <is>
          <t>feat(db,api): execute migration 005 and add category filter to food-entries (#164)</t>
        </is>
      </c>
      <c r="D81" s="35" t="inlineStr">
        <is>
          <t>kiet00394-collab</t>
        </is>
      </c>
      <c r="E81" s="34" t="inlineStr">
        <is>
          <t>fix/issue-164-migration-005-category-filter</t>
        </is>
      </c>
      <c r="F81" s="35" t="inlineStr">
        <is>
          <t>2026-10-29</t>
        </is>
      </c>
      <c r="G81" s="34" t="inlineStr">
        <is>
          <t>#164</t>
        </is>
      </c>
      <c r="H81" s="32" t="inlineStr">
        <is>
          <t>Chạy migration 005_add_category trên CSDL MySQL và cập nhật bộ lọc danh mục category cho endpoint GET /food-entries.</t>
        </is>
      </c>
      <c r="I81" s="33" t="inlineStr">
        <is>
          <t>Hoàn thành</t>
        </is>
      </c>
      <c r="J81" s="36" t="n">
        <v>1</v>
      </c>
    </row>
    <row r="82">
      <c r="A82" s="33" t="n">
        <v>78</v>
      </c>
      <c r="B82" s="33" t="inlineStr">
        <is>
          <t>#192</t>
        </is>
      </c>
      <c r="C82" s="32" t="inlineStr">
        <is>
          <t>feat(scan,ui): align barcode and OCR scan flow with publicScanResult (#167)</t>
        </is>
      </c>
      <c r="D82" s="35" t="inlineStr">
        <is>
          <t>kiet00394-collab</t>
        </is>
      </c>
      <c r="E82" s="34" t="inlineStr">
        <is>
          <t>fix/issue-167-scan-flow-public-contract</t>
        </is>
      </c>
      <c r="F82" s="35" t="inlineStr">
        <is>
          <t>2026-10-29</t>
        </is>
      </c>
      <c r="G82" s="34" t="inlineStr">
        <is>
          <t>#167</t>
        </is>
      </c>
      <c r="H82" s="32" t="inlineStr">
        <is>
          <t>Đồng bộ luồng quét mã vạch và nhận diện OCR theo đúng hợp đồng dữ liệu publicScanResult giữa frontend và backend.</t>
        </is>
      </c>
      <c r="I82" s="33" t="inlineStr">
        <is>
          <t>Hoàn thành</t>
        </is>
      </c>
      <c r="J82" s="36" t="n">
        <v>1</v>
      </c>
    </row>
    <row r="83">
      <c r="A83" s="33" t="n">
        <v>79</v>
      </c>
      <c r="B83" s="33" t="inlineStr">
        <is>
          <t>#193</t>
        </is>
      </c>
      <c r="C83" s="32" t="inlineStr">
        <is>
          <t>feat(web): synchronize browser history and deep linking for storage and insight views (#166)</t>
        </is>
      </c>
      <c r="D83" s="35" t="inlineStr">
        <is>
          <t>kiet00394-collab</t>
        </is>
      </c>
      <c r="E83" s="34" t="inlineStr">
        <is>
          <t>fix/issue-166-browser-history-deep-linking</t>
        </is>
      </c>
      <c r="F83" s="35" t="inlineStr">
        <is>
          <t>2026-10-29</t>
        </is>
      </c>
      <c r="G83" s="34" t="inlineStr">
        <is>
          <t>#166</t>
        </is>
      </c>
      <c r="H83" s="32" t="inlineStr">
        <is>
          <t>Đồng bộ lịch sử trình duyệt và hỗ trợ liên kết sâu (deep linking) cho 2 màn hình mới StorageView và InsightView.</t>
        </is>
      </c>
      <c r="I83" s="33" t="inlineStr">
        <is>
          <t>Hoàn thành</t>
        </is>
      </c>
      <c r="J83" s="36" t="n">
        <v>1</v>
      </c>
    </row>
    <row r="84">
      <c r="A84" s="33" t="n">
        <v>80</v>
      </c>
      <c r="B84" s="33" t="inlineStr">
        <is>
          <t>#194</t>
        </is>
      </c>
      <c r="C84" s="32" t="inlineStr">
        <is>
          <t>feat(web): wire session coordinator and api live mode into storage and insight (#165)</t>
        </is>
      </c>
      <c r="D84" s="35" t="inlineStr">
        <is>
          <t>kiet00394-collab</t>
        </is>
      </c>
      <c r="E84" s="34" t="inlineStr">
        <is>
          <t>fix/issue-165-wire-session-coordinator-storage-insight</t>
        </is>
      </c>
      <c r="F84" s="35" t="inlineStr">
        <is>
          <t>2026-10-29</t>
        </is>
      </c>
      <c r="G84" s="34" t="inlineStr">
        <is>
          <t>#165</t>
        </is>
      </c>
      <c r="H84" s="32" t="inlineStr">
        <is>
          <t>Đấu nối Session Coordinator và chế độ gọi API thực (Live Mode) cho màn hình Nơi lưu trữ và Insight.</t>
        </is>
      </c>
      <c r="I84" s="33" t="inlineStr">
        <is>
          <t>Hoàn thành</t>
        </is>
      </c>
      <c r="J84" s="36" t="n">
        <v>1</v>
      </c>
    </row>
    <row r="85">
      <c r="A85" s="37" t="inlineStr">
        <is>
          <t>TỔNG</t>
        </is>
      </c>
      <c r="B85" s="37">
        <f>COUNTA(B5:B84)</f>
        <v/>
      </c>
      <c r="C85" s="37" t="inlineStr">
        <is>
          <t>80 PRs merged vào nhánh develop</t>
        </is>
      </c>
      <c r="D85" s="38" t="n"/>
      <c r="E85" s="38" t="n"/>
      <c r="F85" s="38" t="n"/>
      <c r="G85" s="38" t="n"/>
      <c r="H85" s="37" t="inlineStr">
        <is>
          <t>Toàn bộ 80 PRs đều vượt qua CI/CD và merge thành công</t>
        </is>
      </c>
      <c r="I85" s="37">
        <f>COUNTIF(I5:I84, "Hoàn thành")</f>
        <v/>
      </c>
      <c r="J85" s="39">
        <f>COUNTIF(I5:I84, "Hoàn thành")/COUNTA(B5:B84)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5"/>
  <sheetViews>
    <sheetView showGridLines="1" workbookViewId="0">
      <selection activeCell="A1" sqref="A1"/>
    </sheetView>
  </sheetViews>
  <sheetFormatPr baseColWidth="8" defaultRowHeight="15"/>
  <cols>
    <col width="6" customWidth="1" min="1" max="1"/>
    <col width="14" customWidth="1" min="2" max="2"/>
    <col width="18" customWidth="1" min="3" max="3"/>
    <col width="30" customWidth="1" min="4" max="4"/>
    <col width="55" customWidth="1" min="5" max="5"/>
    <col width="30" customWidth="1" min="6" max="6"/>
    <col width="20" customWidth="1" min="7" max="7"/>
    <col width="14" customWidth="1" min="8" max="8"/>
    <col width="14" customWidth="1" min="9" max="9"/>
  </cols>
  <sheetData>
    <row r="1">
      <c r="A1" s="1" t="inlineStr">
        <is>
          <t>DANH MỤC TOÀN BỘ TÍNH NĂNG VÀ SẢN PHẨM ĐÃ XÂY DỰNG (DELIVERABLES)</t>
        </is>
      </c>
    </row>
    <row r="2">
      <c r="A2" s="2" t="inlineStr">
        <is>
          <t>Bao gồm 25 tính năng nghiệp vụ và kỹ thuật đã hoàn thành, tích hợp và kiểm thử đầy đủ</t>
        </is>
      </c>
    </row>
    <row r="4" ht="26" customHeight="1">
      <c r="A4" s="13" t="inlineStr">
        <is>
          <t>STT</t>
        </is>
      </c>
      <c r="B4" s="13" t="inlineStr">
        <is>
          <t>Mã Tính Năng</t>
        </is>
      </c>
      <c r="C4" s="13" t="inlineStr">
        <is>
          <t>Phân Hệ</t>
        </is>
      </c>
      <c r="D4" s="13" t="inlineStr">
        <is>
          <t>Tên Tính Năng</t>
        </is>
      </c>
      <c r="E4" s="13" t="inlineStr">
        <is>
          <t>Mô Tả Chi Tiết Kỹ Thuật &amp; Giá Trị Sử Dụng</t>
        </is>
      </c>
      <c r="F4" s="13" t="inlineStr">
        <is>
          <t>File / Module Chính</t>
        </is>
      </c>
      <c r="G4" s="13" t="inlineStr">
        <is>
          <t>Minh Chứng Code / Issue</t>
        </is>
      </c>
      <c r="H4" s="13" t="inlineStr">
        <is>
          <t>Trạng Thái</t>
        </is>
      </c>
      <c r="I4" s="13" t="inlineStr">
        <is>
          <t>Tiến Độ (%)</t>
        </is>
      </c>
    </row>
    <row r="5" ht="28" customHeight="1">
      <c r="A5" s="19" t="n">
        <v>1</v>
      </c>
      <c r="B5" s="19" t="inlineStr">
        <is>
          <t>FE-01</t>
        </is>
      </c>
      <c r="C5" s="19" t="inlineStr">
        <is>
          <t>Frontend Web</t>
        </is>
      </c>
      <c r="D5" s="8" t="inlineStr">
        <is>
          <t>Bảng Quản Lý Kho Lương Thực</t>
        </is>
      </c>
      <c r="E5" s="8" t="inlineStr">
        <is>
          <t>Giao diện hiển thị danh sách thực phẩm theo dạng lưới/danh sách trực quan, phân loại tự động theo màu sắc hạn dùng.</t>
        </is>
      </c>
      <c r="F5" s="8" t="inlineStr">
        <is>
          <t>apps/web/src/features/inventory/</t>
        </is>
      </c>
      <c r="G5" s="19" t="inlineStr">
        <is>
          <t>PR #1, Issue #41</t>
        </is>
      </c>
      <c r="H5" s="11" t="inlineStr">
        <is>
          <t>Hoàn thành</t>
        </is>
      </c>
      <c r="I5" s="10" t="n">
        <v>1</v>
      </c>
    </row>
    <row r="6" ht="28" customHeight="1">
      <c r="A6" s="20" t="n">
        <v>2</v>
      </c>
      <c r="B6" s="20" t="inlineStr">
        <is>
          <t>FE-02</t>
        </is>
      </c>
      <c r="C6" s="20" t="inlineStr">
        <is>
          <t>Frontend Web</t>
        </is>
      </c>
      <c r="D6" s="21" t="inlineStr">
        <is>
          <t>Bộ Lọc Vị Trí Lưu Trữ</t>
        </is>
      </c>
      <c r="E6" s="21" t="inlineStr">
        <is>
          <t>Lọc nhanh thực phẩm theo 4 khu vực: Tủ lạnh (Fridge), Tủ đông (Freezer), Kệ gia vị (Pantry), Mát (Cool).</t>
        </is>
      </c>
      <c r="F6" s="21" t="inlineStr">
        <is>
          <t>apps/web/src/features/inventory/Filters.tsx</t>
        </is>
      </c>
      <c r="G6" s="20" t="inlineStr">
        <is>
          <t>PR #1, PR #144</t>
        </is>
      </c>
      <c r="H6" s="11" t="inlineStr">
        <is>
          <t>Hoàn thành</t>
        </is>
      </c>
      <c r="I6" s="22" t="n">
        <v>1</v>
      </c>
    </row>
    <row r="7" ht="28" customHeight="1">
      <c r="A7" s="19" t="n">
        <v>3</v>
      </c>
      <c r="B7" s="19" t="inlineStr">
        <is>
          <t>FE-03</t>
        </is>
      </c>
      <c r="C7" s="19" t="inlineStr">
        <is>
          <t>Frontend Web</t>
        </is>
      </c>
      <c r="D7" s="8" t="inlineStr">
        <is>
          <t>Huy Hiệu &amp; Chỉ Số Hạn Dùng</t>
        </is>
      </c>
      <c r="E7" s="8" t="inlineStr">
        <is>
          <t>Tính toán số ngày còn lại theo múi giờ thiết bị, gán nhãn: Hết hạn, Cần dùng gấp, Tươi mới kèm màu sắc cảnh báo.</t>
        </is>
      </c>
      <c r="F7" s="8" t="inlineStr">
        <is>
          <t>apps/web/src/features/inventory/AttentionBadge.tsx</t>
        </is>
      </c>
      <c r="G7" s="19" t="inlineStr">
        <is>
          <t>Issue #43, PR #144</t>
        </is>
      </c>
      <c r="H7" s="11" t="inlineStr">
        <is>
          <t>Hoàn thành</t>
        </is>
      </c>
      <c r="I7" s="10" t="n">
        <v>1</v>
      </c>
    </row>
    <row r="8" ht="28" customHeight="1">
      <c r="A8" s="20" t="n">
        <v>4</v>
      </c>
      <c r="B8" s="20" t="inlineStr">
        <is>
          <t>FE-04</t>
        </is>
      </c>
      <c r="C8" s="20" t="inlineStr">
        <is>
          <t>Frontend Web</t>
        </is>
      </c>
      <c r="D8" s="21" t="inlineStr">
        <is>
          <t>Tìm Kiếm Thông Minh Debounced</t>
        </is>
      </c>
      <c r="E8" s="21" t="inlineStr">
        <is>
          <t>Thanh tìm kiếm phản hồi tức thì với kỹ thuật Debounce 300ms và AbortController hủy request dư thừa khi gõ nhanh.</t>
        </is>
      </c>
      <c r="F8" s="21" t="inlineStr">
        <is>
          <t>apps/web/src/features/inventory/SearchInput.tsx</t>
        </is>
      </c>
      <c r="G8" s="20" t="inlineStr">
        <is>
          <t>Issue #73, PR #148</t>
        </is>
      </c>
      <c r="H8" s="11" t="inlineStr">
        <is>
          <t>Hoàn thành</t>
        </is>
      </c>
      <c r="I8" s="22" t="n">
        <v>1</v>
      </c>
    </row>
    <row r="9" ht="28" customHeight="1">
      <c r="A9" s="19" t="n">
        <v>5</v>
      </c>
      <c r="B9" s="19" t="inlineStr">
        <is>
          <t>FE-05</t>
        </is>
      </c>
      <c r="C9" s="19" t="inlineStr">
        <is>
          <t>Frontend Web</t>
        </is>
      </c>
      <c r="D9" s="8" t="inlineStr">
        <is>
          <t>Xem Chi Tiết Món Đồ &amp; Nguồn Gốc</t>
        </is>
      </c>
      <c r="E9" s="8" t="inlineStr">
        <is>
          <t>Màn hình Food Detail hiển thị nguồn gốc xuất xứ (OCR / Barcode / Thủ công), số lô, ghi chú và lịch sử thao tác.</t>
        </is>
      </c>
      <c r="F9" s="8" t="inlineStr">
        <is>
          <t>apps/web/src/features/detail/FoodDetailModal.tsx</t>
        </is>
      </c>
      <c r="G9" s="19" t="inlineStr">
        <is>
          <t>Issue #44, PR #127</t>
        </is>
      </c>
      <c r="H9" s="11" t="inlineStr">
        <is>
          <t>Hoàn thành</t>
        </is>
      </c>
      <c r="I9" s="10" t="n">
        <v>1</v>
      </c>
    </row>
    <row r="10" ht="28" customHeight="1">
      <c r="A10" s="20" t="n">
        <v>6</v>
      </c>
      <c r="B10" s="20" t="inlineStr">
        <is>
          <t>CAP-01</t>
        </is>
      </c>
      <c r="C10" s="20" t="inlineStr">
        <is>
          <t>Smart Capture</t>
        </is>
      </c>
      <c r="D10" s="21" t="inlineStr">
        <is>
          <t>Quét Hạn Sử Dụng Bằng Camera</t>
        </is>
      </c>
      <c r="E10" s="21" t="inlineStr">
        <is>
          <t>Chụp ảnh bao bì trực tiếp từ camera, tự động nén ảnh qua Canvas và gửi sang AI OCR nhận dạng ngày hết hạn.</t>
        </is>
      </c>
      <c r="F10" s="21" t="inlineStr">
        <is>
          <t>apps/web/src/features/scan/ScanForm.tsx</t>
        </is>
      </c>
      <c r="G10" s="20" t="inlineStr">
        <is>
          <t>Issue #50, #85, PR #131</t>
        </is>
      </c>
      <c r="H10" s="11" t="inlineStr">
        <is>
          <t>Hoàn thành</t>
        </is>
      </c>
      <c r="I10" s="22" t="n">
        <v>1</v>
      </c>
    </row>
    <row r="11" ht="28" customHeight="1">
      <c r="A11" s="19" t="n">
        <v>7</v>
      </c>
      <c r="B11" s="19" t="inlineStr">
        <is>
          <t>CAP-02</t>
        </is>
      </c>
      <c r="C11" s="19" t="inlineStr">
        <is>
          <t>Smart Capture</t>
        </is>
      </c>
      <c r="D11" s="8" t="inlineStr">
        <is>
          <t>Quét Mã Vạch Sản Phẩm (Barcode)</t>
        </is>
      </c>
      <c r="E11" s="8" t="inlineStr">
        <is>
          <t>Tích hợp thư viện ZXing quét mã vạch EAN-13, UPC qua camera máy tính/điện thoại, tự động điền thông tin món.</t>
        </is>
      </c>
      <c r="F11" s="8" t="inlineStr">
        <is>
          <t>apps/web/src/features/scan/BarcodeScanner.tsx</t>
        </is>
      </c>
      <c r="G11" s="19" t="inlineStr">
        <is>
          <t>Issue #34, #39, PR #110</t>
        </is>
      </c>
      <c r="H11" s="11" t="inlineStr">
        <is>
          <t>Hoàn thành</t>
        </is>
      </c>
      <c r="I11" s="10" t="n">
        <v>1</v>
      </c>
    </row>
    <row r="12" ht="28" customHeight="1">
      <c r="A12" s="20" t="n">
        <v>8</v>
      </c>
      <c r="B12" s="20" t="inlineStr">
        <is>
          <t>CAP-03</t>
        </is>
      </c>
      <c r="C12" s="20" t="inlineStr">
        <is>
          <t>Smart Capture</t>
        </is>
      </c>
      <c r="D12" s="21" t="inlineStr">
        <is>
          <t>Form Nhập Liệu Thủ Công Chuẩn Hóa</t>
        </is>
      </c>
      <c r="E12" s="21" t="inlineStr">
        <is>
          <t>Biểu mẫu tạo món đồ mới hỗ trợ gợi ý đơn vị đo lường (hộp, kg, lít, gói...), kiểm tra ngày hợp lệ và chống submit đúp.</t>
        </is>
      </c>
      <c r="F12" s="21" t="inlineStr">
        <is>
          <t>apps/web/src/features/capture/ManualCaptureForm.tsx</t>
        </is>
      </c>
      <c r="G12" s="20" t="inlineStr">
        <is>
          <t>Issue #42, PR #152</t>
        </is>
      </c>
      <c r="H12" s="11" t="inlineStr">
        <is>
          <t>Hoàn thành</t>
        </is>
      </c>
      <c r="I12" s="22" t="n">
        <v>1</v>
      </c>
    </row>
    <row r="13" ht="28" customHeight="1">
      <c r="A13" s="19" t="n">
        <v>9</v>
      </c>
      <c r="B13" s="19" t="inlineStr">
        <is>
          <t>DOM-01</t>
        </is>
      </c>
      <c r="C13" s="19" t="inlineStr">
        <is>
          <t>Core Domain</t>
        </is>
      </c>
      <c r="D13" s="8" t="inlineStr">
        <is>
          <t>Sổ Cái Biến Động Thực Phẩm (Ledger)</t>
        </is>
      </c>
      <c r="E13" s="8" t="inlineStr">
        <is>
          <t>Quản lý dòng biến động kho: Nhập kho (Initial), Tiêu thụ (Consume), Vứt bỏ (Discard) với lý do chi tiết.</t>
        </is>
      </c>
      <c r="F13" s="8" t="inlineStr">
        <is>
          <t>apps/api/src/modules/inventory/service.mjs</t>
        </is>
      </c>
      <c r="G13" s="19" t="inlineStr">
        <is>
          <t>Issue #45, PR #137</t>
        </is>
      </c>
      <c r="H13" s="11" t="inlineStr">
        <is>
          <t>Hoàn thành</t>
        </is>
      </c>
      <c r="I13" s="10" t="n">
        <v>1</v>
      </c>
    </row>
    <row r="14" ht="28" customHeight="1">
      <c r="A14" s="20" t="n">
        <v>10</v>
      </c>
      <c r="B14" s="20" t="inlineStr">
        <is>
          <t>DOM-02</t>
        </is>
      </c>
      <c r="C14" s="20" t="inlineStr">
        <is>
          <t>Core Domain</t>
        </is>
      </c>
      <c r="D14" s="21" t="inlineStr">
        <is>
          <t>Kiểm Kê Số Lượng Thực Tế (Recount)</t>
        </is>
      </c>
      <c r="E14" s="21" t="inlineStr">
        <is>
          <t>Cho phép điều chỉnh số lượng thực tế trong kho có bảo vệ tương tranh (Optimistic Locking) và cho phép xác nhận no-op.</t>
        </is>
      </c>
      <c r="F14" s="21" t="inlineStr">
        <is>
          <t>apps/web/src/features/movement/MovementForm.tsx</t>
        </is>
      </c>
      <c r="G14" s="20" t="inlineStr">
        <is>
          <t>Issue #46, #86, PR #112</t>
        </is>
      </c>
      <c r="H14" s="11" t="inlineStr">
        <is>
          <t>Hoàn thành</t>
        </is>
      </c>
      <c r="I14" s="22" t="n">
        <v>1</v>
      </c>
    </row>
    <row r="15" ht="28" customHeight="1">
      <c r="A15" s="19" t="n">
        <v>11</v>
      </c>
      <c r="B15" s="19" t="inlineStr">
        <is>
          <t>DOM-03</t>
        </is>
      </c>
      <c r="C15" s="19" t="inlineStr">
        <is>
          <t>Core Domain</t>
        </is>
      </c>
      <c r="D15" s="8" t="inlineStr">
        <is>
          <t>Vòng Đời Thùng Rác (Trash Lifecycle)</t>
        </is>
      </c>
      <c r="E15" s="8" t="inlineStr">
        <is>
          <t>Hỗ trợ xóa mềm (Soft-delete), tìm kiếm đồ đã xóa theo tên/vị trí và tính năng khôi phục 1 chạm (Restore) về kho.</t>
        </is>
      </c>
      <c r="F15" s="8" t="inlineStr">
        <is>
          <t>apps/web/src/features/trash/TrashModal.tsx</t>
        </is>
      </c>
      <c r="G15" s="19" t="inlineStr">
        <is>
          <t>Issue #24, #47, PR #111</t>
        </is>
      </c>
      <c r="H15" s="11" t="inlineStr">
        <is>
          <t>Hoàn thành</t>
        </is>
      </c>
      <c r="I15" s="10" t="n">
        <v>1</v>
      </c>
    </row>
    <row r="16" ht="28" customHeight="1">
      <c r="A16" s="20" t="n">
        <v>12</v>
      </c>
      <c r="B16" s="20" t="inlineStr">
        <is>
          <t>DOM-04</t>
        </is>
      </c>
      <c r="C16" s="20" t="inlineStr">
        <is>
          <t>Core Domain</t>
        </is>
      </c>
      <c r="D16" s="21" t="inlineStr">
        <is>
          <t>Tùy Chỉnh Người Dùng (Preferences)</t>
        </is>
      </c>
      <c r="E16" s="21" t="inlineStr">
        <is>
          <t>Lưu trữ múi giờ người dùng và ngưỡng ngày cảnh báo hết hạn; tự động tính toán hạn dùng theo thời gian cục bộ.</t>
        </is>
      </c>
      <c r="F16" s="21" t="inlineStr">
        <is>
          <t>apps/api/src/modules/preferences/</t>
        </is>
      </c>
      <c r="G16" s="20" t="inlineStr">
        <is>
          <t>Issue #48, PR #144</t>
        </is>
      </c>
      <c r="H16" s="11" t="inlineStr">
        <is>
          <t>Hoàn thành</t>
        </is>
      </c>
      <c r="I16" s="22" t="n">
        <v>1</v>
      </c>
    </row>
    <row r="17" ht="28" customHeight="1">
      <c r="A17" s="19" t="n">
        <v>13</v>
      </c>
      <c r="B17" s="19" t="inlineStr">
        <is>
          <t>BE-01</t>
        </is>
      </c>
      <c r="C17" s="19" t="inlineStr">
        <is>
          <t>Backend API</t>
        </is>
      </c>
      <c r="D17" s="8" t="inlineStr">
        <is>
          <t>Kiến Trúc Module Phân Tầng Node.js</t>
        </is>
      </c>
      <c r="E17" s="8" t="inlineStr">
        <is>
          <t>Hệ thống backend xây dựng trên Express ESM, phân chia rõ ràng các module controller, service, domain, repository.</t>
        </is>
      </c>
      <c r="F17" s="8" t="inlineStr">
        <is>
          <t>apps/api/src/app.mjs</t>
        </is>
      </c>
      <c r="G17" s="19" t="inlineStr">
        <is>
          <t>PR #1, #2, Issue #26</t>
        </is>
      </c>
      <c r="H17" s="11" t="inlineStr">
        <is>
          <t>Hoàn thành</t>
        </is>
      </c>
      <c r="I17" s="10" t="n">
        <v>1</v>
      </c>
    </row>
    <row r="18" ht="28" customHeight="1">
      <c r="A18" s="20" t="n">
        <v>14</v>
      </c>
      <c r="B18" s="20" t="inlineStr">
        <is>
          <t>BE-02</t>
        </is>
      </c>
      <c r="C18" s="20" t="inlineStr">
        <is>
          <t>Backend API</t>
        </is>
      </c>
      <c r="D18" s="21" t="inlineStr">
        <is>
          <t>Quản Lý Phiên Xác Thực (Session Auth)</t>
        </is>
      </c>
      <c r="E18" s="21" t="inlineStr">
        <is>
          <t>Xác thực phiên bền vững qua cookie HttpOnly/Secure; lưu hash SHA-256 trong CSDL; chống giả mạo danh tính.</t>
        </is>
      </c>
      <c r="F18" s="21" t="inlineStr">
        <is>
          <t>apps/api/src/modules/auth/</t>
        </is>
      </c>
      <c r="G18" s="20" t="inlineStr">
        <is>
          <t>PR #2, #27, Issue #37</t>
        </is>
      </c>
      <c r="H18" s="11" t="inlineStr">
        <is>
          <t>Hoàn thành</t>
        </is>
      </c>
      <c r="I18" s="22" t="n">
        <v>1</v>
      </c>
    </row>
    <row r="19" ht="28" customHeight="1">
      <c r="A19" s="19" t="n">
        <v>15</v>
      </c>
      <c r="B19" s="19" t="inlineStr">
        <is>
          <t>BE-03</t>
        </is>
      </c>
      <c r="C19" s="19" t="inlineStr">
        <is>
          <t>Backend API</t>
        </is>
      </c>
      <c r="D19" s="8" t="inlineStr">
        <is>
          <t>Bảo Mật Băm Scrypt &amp; Bounded Queue</t>
        </is>
      </c>
      <c r="E19" s="8" t="inlineStr">
        <is>
          <t>Bảo vệ mật khẩu với thuật toán Scrypt và cơ chế hàng đợi giới hạn tải CPU, ngăn chặn triệt để tấn công DoS Auth.</t>
        </is>
      </c>
      <c r="F19" s="8" t="inlineStr">
        <is>
          <t>apps/api/src/modules/auth/scrypt.mjs</t>
        </is>
      </c>
      <c r="G19" s="19" t="inlineStr">
        <is>
          <t>Issue #88, PR #121</t>
        </is>
      </c>
      <c r="H19" s="11" t="inlineStr">
        <is>
          <t>Hoàn thành</t>
        </is>
      </c>
      <c r="I19" s="10" t="n">
        <v>1</v>
      </c>
    </row>
    <row r="20" ht="28" customHeight="1">
      <c r="A20" s="20" t="n">
        <v>16</v>
      </c>
      <c r="B20" s="20" t="inlineStr">
        <is>
          <t>BE-04</t>
        </is>
      </c>
      <c r="C20" s="20" t="inlineStr">
        <is>
          <t>Backend API</t>
        </is>
      </c>
      <c r="D20" s="21" t="inlineStr">
        <is>
          <t>Trust Proxy &amp; Chống Giả Mạo IP</t>
        </is>
      </c>
      <c r="E20" s="21" t="inlineStr">
        <is>
          <t>Phân tích chính xác client IP từ chuỗi proxy X-Forwarded-For; rate limiting phân lập theo từng địa chỉ IP thật.</t>
        </is>
      </c>
      <c r="F20" s="21" t="inlineStr">
        <is>
          <t>apps/api/src/modules/auth/rate-limit.mjs</t>
        </is>
      </c>
      <c r="G20" s="20" t="inlineStr">
        <is>
          <t>Issue #19, #33, PR #107</t>
        </is>
      </c>
      <c r="H20" s="11" t="inlineStr">
        <is>
          <t>Hoàn thành</t>
        </is>
      </c>
      <c r="I20" s="22" t="n">
        <v>1</v>
      </c>
    </row>
    <row r="21" ht="28" customHeight="1">
      <c r="A21" s="19" t="n">
        <v>17</v>
      </c>
      <c r="B21" s="19" t="inlineStr">
        <is>
          <t>BE-05</t>
        </is>
      </c>
      <c r="C21" s="19" t="inlineStr">
        <is>
          <t>Backend API</t>
        </is>
      </c>
      <c r="D21" s="8" t="inlineStr">
        <is>
          <t>Hỗ Trợ Khóa Thao Tác Idempotency-Key</t>
        </is>
      </c>
      <c r="E21" s="8" t="inlineStr">
        <is>
          <t>Bảo vệ các endpoint tạo mới/đột biến kho khỏi việc người dùng bấm nhiều lần hoặc mạng chập chờn gửi lại request.</t>
        </is>
      </c>
      <c r="F21" s="8" t="inlineStr">
        <is>
          <t>apps/api/src/shared/idempotency.mjs</t>
        </is>
      </c>
      <c r="G21" s="19" t="inlineStr">
        <is>
          <t>Issue #38, PR #2</t>
        </is>
      </c>
      <c r="H21" s="11" t="inlineStr">
        <is>
          <t>Hoàn thành</t>
        </is>
      </c>
      <c r="I21" s="10" t="n">
        <v>1</v>
      </c>
    </row>
    <row r="22" ht="28" customHeight="1">
      <c r="A22" s="20" t="n">
        <v>18</v>
      </c>
      <c r="B22" s="20" t="inlineStr">
        <is>
          <t>BE-06</t>
        </is>
      </c>
      <c r="C22" s="20" t="inlineStr">
        <is>
          <t>Backend API</t>
        </is>
      </c>
      <c r="D22" s="21" t="inlineStr">
        <is>
          <t>Graceful Server Shutdown &amp; TTL Cleanup</t>
        </is>
      </c>
      <c r="E22" s="21" t="inlineStr">
        <is>
          <t>Xử lý đóng server an toàn khi nhận tín hiệu tắt; worker định kỳ dọn sạch session và khóa idempotency hết hạn.</t>
        </is>
      </c>
      <c r="F22" s="21" t="inlineStr">
        <is>
          <t>apps/api/src/server.mjs</t>
        </is>
      </c>
      <c r="G22" s="20" t="inlineStr">
        <is>
          <t>Issue #69, #91, PR #118</t>
        </is>
      </c>
      <c r="H22" s="11" t="inlineStr">
        <is>
          <t>Hoàn thành</t>
        </is>
      </c>
      <c r="I22" s="22" t="n">
        <v>1</v>
      </c>
    </row>
    <row r="23" ht="28" customHeight="1">
      <c r="A23" s="19" t="n">
        <v>19</v>
      </c>
      <c r="B23" s="19" t="inlineStr">
        <is>
          <t>DB-01</t>
        </is>
      </c>
      <c r="C23" s="19" t="inlineStr">
        <is>
          <t>Cơ Sở Dữ Liệu</t>
        </is>
      </c>
      <c r="D23" s="8" t="inlineStr">
        <is>
          <t>Hệ Thống Migration DDL MySQL</t>
        </is>
      </c>
      <c r="E23" s="8" t="inlineStr">
        <is>
          <t>Quản trị lược đồ CSDL qua 3 file migration (001 core, 002 auth, 003 barcode); 7 bảng quan hệ có ràng buộc toàn vẹn.</t>
        </is>
      </c>
      <c r="F23" s="8" t="inlineStr">
        <is>
          <t>database/mysql/migrations/</t>
        </is>
      </c>
      <c r="G23" s="19" t="inlineStr">
        <is>
          <t>PR #9, PR #151</t>
        </is>
      </c>
      <c r="H23" s="11" t="inlineStr">
        <is>
          <t>Hoàn thành</t>
        </is>
      </c>
      <c r="I23" s="10" t="n">
        <v>1</v>
      </c>
    </row>
    <row r="24" ht="28" customHeight="1">
      <c r="A24" s="20" t="n">
        <v>20</v>
      </c>
      <c r="B24" s="20" t="inlineStr">
        <is>
          <t>DB-02</t>
        </is>
      </c>
      <c r="C24" s="20" t="inlineStr">
        <is>
          <t>Cơ Sở Dữ Liệu</t>
        </is>
      </c>
      <c r="D24" s="21" t="inlineStr">
        <is>
          <t>Tối Ưu Hóa Truy Vấn &amp; Connection Pool</t>
        </is>
      </c>
      <c r="E24" s="21" t="inlineStr">
        <is>
          <t>Tối ưu push-down LIMIT/OFFSET, bypass CTE đếm, xóa roundtrip time_zone, giảm thiểu nghẽn khóa hàng session.</t>
        </is>
      </c>
      <c r="F24" s="21" t="inlineStr">
        <is>
          <t>apps/api/src/shared/connection.mjs</t>
        </is>
      </c>
      <c r="G24" s="20" t="inlineStr">
        <is>
          <t>Issue #63, #65, #80</t>
        </is>
      </c>
      <c r="H24" s="11" t="inlineStr">
        <is>
          <t>Hoàn thành</t>
        </is>
      </c>
      <c r="I24" s="22" t="n">
        <v>1</v>
      </c>
    </row>
    <row r="25" ht="28" customHeight="1">
      <c r="A25" s="19" t="n">
        <v>21</v>
      </c>
      <c r="B25" s="19" t="inlineStr">
        <is>
          <t>AI-01</t>
        </is>
      </c>
      <c r="C25" s="19" t="inlineStr">
        <is>
          <t>AI OCR Scan</t>
        </is>
      </c>
      <c r="D25" s="8" t="inlineStr">
        <is>
          <t>Pipeline Thị Giác Máy Tính DateReg</t>
        </is>
      </c>
      <c r="E25" s="8" t="inlineStr">
        <is>
          <t>Mô hình YOLO định vị vị trí ngày tháng trên ảnh sản phẩm và CTC/CRNN nhận diện ký tự quang học tốc độ cao.</t>
        </is>
      </c>
      <c r="F25" s="8" t="inlineStr">
        <is>
          <t>services/python-scan/service.py</t>
        </is>
      </c>
      <c r="G25" s="19" t="inlineStr">
        <is>
          <t>Issue #50, PR #11</t>
        </is>
      </c>
      <c r="H25" s="11" t="inlineStr">
        <is>
          <t>Hoàn thành</t>
        </is>
      </c>
      <c r="I25" s="10" t="n">
        <v>1</v>
      </c>
    </row>
    <row r="26" ht="28" customHeight="1">
      <c r="A26" s="20" t="n">
        <v>22</v>
      </c>
      <c r="B26" s="20" t="inlineStr">
        <is>
          <t>AI-02</t>
        </is>
      </c>
      <c r="C26" s="20" t="inlineStr">
        <is>
          <t>AI OCR Scan</t>
        </is>
      </c>
      <c r="D26" s="21" t="inlineStr">
        <is>
          <t>Parser Bóc Tách Ngày Tháng Tiếng Việt</t>
        </is>
      </c>
      <c r="E26" s="21" t="inlineStr">
        <is>
          <t>Bộ phân tích cú pháp hỗ trợ nhận diện tên tháng bằng chữ (tháng 1 - 12) và định dạng đa dạng: DD/MM/YYYY, YYYY-MM-DD.</t>
        </is>
      </c>
      <c r="F26" s="21" t="inlineStr">
        <is>
          <t>services/python-scan/date_parser.py</t>
        </is>
      </c>
      <c r="G26" s="20" t="inlineStr">
        <is>
          <t>Issue #94, PR #117</t>
        </is>
      </c>
      <c r="H26" s="11" t="inlineStr">
        <is>
          <t>Hoàn thành</t>
        </is>
      </c>
      <c r="I26" s="22" t="n">
        <v>1</v>
      </c>
    </row>
    <row r="27" ht="28" customHeight="1">
      <c r="A27" s="19" t="n">
        <v>23</v>
      </c>
      <c r="B27" s="19" t="inlineStr">
        <is>
          <t>PONY-01</t>
        </is>
      </c>
      <c r="C27" s="19" t="inlineStr">
        <is>
          <t>Tinh Giản Mã</t>
        </is>
      </c>
      <c r="D27" s="8" t="inlineStr">
        <is>
          <t>Chiến Dịch Ponytail Cắt Giảm Bloat</t>
        </is>
      </c>
      <c r="E27" s="8" t="inlineStr">
        <is>
          <t>Thay thế DatePicker 708 dòng và Select 365 dòng bằng thẻ HTML5 native; xóa ScrollbarAutohide; dùng Node native env.</t>
        </is>
      </c>
      <c r="F27" s="8" t="inlineStr">
        <is>
          <t>apps/web/src/components/</t>
        </is>
      </c>
      <c r="G27" s="19" t="inlineStr">
        <is>
          <t>Issue #99, #100, #101</t>
        </is>
      </c>
      <c r="H27" s="11" t="inlineStr">
        <is>
          <t>Hoàn thành</t>
        </is>
      </c>
      <c r="I27" s="10" t="n">
        <v>1</v>
      </c>
    </row>
    <row r="28" ht="28" customHeight="1">
      <c r="A28" s="20" t="n">
        <v>24</v>
      </c>
      <c r="B28" s="20" t="inlineStr">
        <is>
          <t>PONY-02</t>
        </is>
      </c>
      <c r="C28" s="20" t="inlineStr">
        <is>
          <t>Tinh Giản Mã</t>
        </is>
      </c>
      <c r="D28" s="21" t="inlineStr">
        <is>
          <t>Polymorphic ApiClient Hợp Nhất App.tsx</t>
        </is>
      </c>
      <c r="E28" s="21" t="inlineStr">
        <is>
          <t>Cắt giảm hơn 500 dòng code phân nhánh isDemo trong App.tsx bằng cách đưa logic vào API client đa hình.</t>
        </is>
      </c>
      <c r="F28" s="21" t="inlineStr">
        <is>
          <t>apps/web/src/api/client.ts</t>
        </is>
      </c>
      <c r="G28" s="20" t="inlineStr">
        <is>
          <t>Issue #102, PR #155</t>
        </is>
      </c>
      <c r="H28" s="11" t="inlineStr">
        <is>
          <t>Hoàn thành</t>
        </is>
      </c>
      <c r="I28" s="22" t="n">
        <v>1</v>
      </c>
    </row>
    <row r="29" ht="28" customHeight="1">
      <c r="A29" s="19" t="n">
        <v>25</v>
      </c>
      <c r="B29" s="19" t="inlineStr">
        <is>
          <t>OPS-01</t>
        </is>
      </c>
      <c r="C29" s="19" t="inlineStr">
        <is>
          <t>DevOps &amp; CI/CD</t>
        </is>
      </c>
      <c r="D29" s="8" t="inlineStr">
        <is>
          <t>Multi-Stage GitHub Actions Quality Gate</t>
        </is>
      </c>
      <c r="E29" s="8" t="inlineStr">
        <is>
          <t>Kiểm thử tự động linter (oxfmt), TypeScript typecheck, database integration test với MySQL container và E2E scan.</t>
        </is>
      </c>
      <c r="F29" s="8" t="inlineStr">
        <is>
          <t>.github/workflows/ci.yml</t>
        </is>
      </c>
      <c r="G29" s="19" t="inlineStr">
        <is>
          <t>Issue #58, PR #12, #14</t>
        </is>
      </c>
      <c r="H29" s="11" t="inlineStr">
        <is>
          <t>Hoàn thành</t>
        </is>
      </c>
      <c r="I29" s="10" t="n">
        <v>1</v>
      </c>
    </row>
    <row r="30">
      <c r="A30" s="19" t="n">
        <v>26</v>
      </c>
      <c r="B30" s="19" t="inlineStr">
        <is>
          <t>FE-06</t>
        </is>
      </c>
      <c r="C30" s="19" t="inlineStr">
        <is>
          <t>Frontend Web</t>
        </is>
      </c>
      <c r="D30" s="8" t="inlineStr">
        <is>
          <t>Hệ Thống Design System &amp; Responsive Đa Thiết Bị</t>
        </is>
      </c>
      <c r="E30" s="8" t="inlineStr">
        <is>
          <t>Bộ UI primitives (Modal, Button, Input, Select, Switch, Badge, Card, EmptyState, Toast) chuẩn accessibility, thanh Sidebar desktop 72px, Bottom navigation mobile 56px với vùng chạm an toàn, chuẩn hóa container scale Tailwind v4, 59 automated vitest tests.</t>
        </is>
      </c>
      <c r="F30" s="8" t="inlineStr">
        <is>
          <t>apps/web/src/components/ui/, apps/web/src/features/, apps/web/src/index.css</t>
        </is>
      </c>
      <c r="G30" s="19" t="inlineStr">
        <is>
          <t>PR #161, PR #163</t>
        </is>
      </c>
      <c r="H30" s="11" t="inlineStr">
        <is>
          <t>Hoàn thành</t>
        </is>
      </c>
      <c r="I30" s="10" t="n">
        <v>1</v>
      </c>
    </row>
    <row r="31">
      <c r="A31" s="33" t="n">
        <v>27</v>
      </c>
      <c r="B31" s="33" t="inlineStr">
        <is>
          <t>DB-03</t>
        </is>
      </c>
      <c r="C31" s="34" t="inlineStr">
        <is>
          <t>Cơ Sở Dữ Liệu</t>
        </is>
      </c>
      <c r="D31" s="32" t="inlineStr">
        <is>
          <t>Lược Đồ Phân Loại Danh Mục (Category Taxonomy)</t>
        </is>
      </c>
      <c r="E31" s="32" t="inlineStr">
        <is>
          <t>Migration 005 thêm cột category với CHECK constraint 7 nhóm thực phẩm (dairy, meat, seafood, produce, pantry, beverage, other), hỗ trợ bộ lọc API theo category.</t>
        </is>
      </c>
      <c r="F31" s="34" t="inlineStr">
        <is>
          <t>database/mysql/migrations/005_add_category.sql, apps/api/src/modules/inventory/</t>
        </is>
      </c>
      <c r="G31" s="34" t="inlineStr">
        <is>
          <t>PR #191, Issue #164</t>
        </is>
      </c>
      <c r="H31" s="33" t="inlineStr">
        <is>
          <t>Hoàn thành</t>
        </is>
      </c>
      <c r="I31" s="36" t="n">
        <v>1</v>
      </c>
    </row>
    <row r="32">
      <c r="A32" s="33" t="n">
        <v>28</v>
      </c>
      <c r="B32" s="33" t="inlineStr">
        <is>
          <t>FE-07</t>
        </is>
      </c>
      <c r="C32" s="34" t="inlineStr">
        <is>
          <t>Frontend Web</t>
        </is>
      </c>
      <c r="D32" s="32" t="inlineStr">
        <is>
          <t>Kho Lưu Trữ Storage Hub &amp; Phân Tích Thông Minh Insight</t>
        </is>
      </c>
      <c r="E32" s="32" t="inlineStr">
        <is>
          <t>Giao diện StorageView hiển thị trực quan thực phẩm theo 4 khu vực lưu trữ; InsightView phân tích thống kê lãng phí, tỉ lệ tiêu thụ và cảnh báo trực quan bằng biểu đồ.</t>
        </is>
      </c>
      <c r="F32" s="34" t="inlineStr">
        <is>
          <t>apps/web/src/features/StorageView.tsx, InsightView.tsx</t>
        </is>
      </c>
      <c r="G32" s="34" t="inlineStr">
        <is>
          <t>PR #172, PR #180, PR #194</t>
        </is>
      </c>
      <c r="H32" s="33" t="inlineStr">
        <is>
          <t>Hoàn thành</t>
        </is>
      </c>
      <c r="I32" s="36" t="n">
        <v>1</v>
      </c>
    </row>
    <row r="33">
      <c r="A33" s="33" t="n">
        <v>29</v>
      </c>
      <c r="B33" s="33" t="inlineStr">
        <is>
          <t>FE-08</t>
        </is>
      </c>
      <c r="C33" s="34" t="inlineStr">
        <is>
          <t>Frontend Web</t>
        </is>
      </c>
      <c r="D33" s="32" t="inlineStr">
        <is>
          <t>Lịch Sử Trình Duyệt Deep Linking &amp; Session Coordinator</t>
        </is>
      </c>
      <c r="E33" s="32" t="inlineStr">
        <is>
          <t>Đồng bộ URL hash/history (pushState/replaceState), hỗ trợ nút Back/Forward trình duyệt và điều phối phiên làm việc giữa chế độ Live Mode và Demo Mode.</t>
        </is>
      </c>
      <c r="F33" s="34" t="inlineStr">
        <is>
          <t>apps/web/src/App.tsx, store/appStore.ts, hooks/useExpiry.ts</t>
        </is>
      </c>
      <c r="G33" s="34" t="inlineStr">
        <is>
          <t>PR #193, PR #194, Issue #165, #166</t>
        </is>
      </c>
      <c r="H33" s="33" t="inlineStr">
        <is>
          <t>Hoàn thành</t>
        </is>
      </c>
      <c r="I33" s="36" t="n">
        <v>1</v>
      </c>
    </row>
    <row r="34">
      <c r="A34" s="33" t="n">
        <v>30</v>
      </c>
      <c r="B34" s="33" t="inlineStr">
        <is>
          <t>OPS-02</t>
        </is>
      </c>
      <c r="C34" s="34" t="inlineStr">
        <is>
          <t>DevOps &amp; Đo Lường</t>
        </is>
      </c>
      <c r="D34" s="32" t="inlineStr">
        <is>
          <t>Tích Hợp Vercel Analytics &amp; Speed Insights</t>
        </is>
      </c>
      <c r="E34" s="32" t="inlineStr">
        <is>
          <t>Tích hợp bộ đo lường trải nghiệm người dùng thực (Real User Monitoring), theo dõi các chỉ số Core Web Vitals (LCP, FID, CLS) và phân tích lưu lượng người dùng.</t>
        </is>
      </c>
      <c r="F34" s="34" t="inlineStr">
        <is>
          <t>apps/web/src/main.tsx, package.json</t>
        </is>
      </c>
      <c r="G34" s="34" t="inlineStr">
        <is>
          <t>PR #178</t>
        </is>
      </c>
      <c r="H34" s="33" t="inlineStr">
        <is>
          <t>Hoàn thành</t>
        </is>
      </c>
      <c r="I34" s="36" t="n">
        <v>1</v>
      </c>
    </row>
    <row r="35">
      <c r="A35" s="37" t="inlineStr">
        <is>
          <t>TỔNG</t>
        </is>
      </c>
      <c r="B35" s="37">
        <f>COUNTA(B5:B34)</f>
        <v/>
      </c>
      <c r="C35" s="37" t="inlineStr">
        <is>
          <t>7 Phân hệ chính</t>
        </is>
      </c>
      <c r="D35" s="37" t="inlineStr">
        <is>
          <t>Toàn bộ 30 Tính năng</t>
        </is>
      </c>
      <c r="E35" s="37" t="inlineStr">
        <is>
          <t>Toàn bộ deliverables đã bàn giao và hoạt động ổn định</t>
        </is>
      </c>
      <c r="F35" s="38" t="n"/>
      <c r="G35" s="38" t="n"/>
      <c r="H35" s="37">
        <f>COUNTIF(H5:H34, "Hoàn thành")</f>
        <v/>
      </c>
      <c r="I35" s="39">
        <f>COUNTIF(H5:H34, "Hoàn thành")/COUNTA(B5:B34)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6" customWidth="1" min="1" max="1"/>
    <col width="16" customWidth="1" min="2" max="2"/>
    <col width="32" customWidth="1" min="3" max="3"/>
    <col width="20" customWidth="1" min="4" max="4"/>
    <col width="16" customWidth="1" min="5" max="5"/>
    <col width="55" customWidth="1" min="6" max="6"/>
    <col width="50" customWidth="1" min="7" max="7"/>
    <col width="20" customWidth="1" min="8" max="8"/>
    <col width="16" customWidth="1" min="9" max="9"/>
  </cols>
  <sheetData>
    <row r="1">
      <c r="A1" s="1" t="inlineStr">
        <is>
          <t>DANH MỤC CÁC HẠNG MỤC TỒN ĐỌNG, GIỚI HẠN THỰC TẾ &amp; ĐỀ XUẤT NÂNG CẤP</t>
        </is>
      </c>
    </row>
    <row r="2">
      <c r="A2" s="2" t="inlineStr">
        <is>
          <t>Đánh giá khách quan các hạn chế hiện tại và kế hoạch phát triển tiếp theo cho dự án Expiry</t>
        </is>
      </c>
    </row>
    <row r="4" ht="26" customHeight="1">
      <c r="A4" s="26" t="inlineStr">
        <is>
          <t>STT</t>
        </is>
      </c>
      <c r="B4" s="26" t="inlineStr">
        <is>
          <t>Mã Hạng Mục</t>
        </is>
      </c>
      <c r="C4" s="26" t="inlineStr">
        <is>
          <t>Tên Hạng Mục Tồn Đọng / Hạn Chế</t>
        </is>
      </c>
      <c r="D4" s="26" t="inlineStr">
        <is>
          <t>Phân Loại</t>
        </is>
      </c>
      <c r="E4" s="26" t="inlineStr">
        <is>
          <t>Mức Độ Ưu Tiên</t>
        </is>
      </c>
      <c r="F4" s="26" t="inlineStr">
        <is>
          <t>Mô Tả Chi Tiết Hiện Trạng &amp; Giới Hạn Kỹ Thuật</t>
        </is>
      </c>
      <c r="G4" s="26" t="inlineStr">
        <is>
          <t>Giải Pháp Đề Xuất Cho Phase Tiếp Theo</t>
        </is>
      </c>
      <c r="H4" s="26" t="inlineStr">
        <is>
          <t>Trạng Thái Hiện Tại</t>
        </is>
      </c>
      <c r="I4" s="26" t="inlineStr">
        <is>
          <t>Tiến Độ Đã Đạt (%)</t>
        </is>
      </c>
    </row>
    <row r="5" ht="36" customHeight="1">
      <c r="A5" s="19" t="n">
        <v>1</v>
      </c>
      <c r="B5" s="19" t="inlineStr">
        <is>
          <t>BACKLOG-01</t>
        </is>
      </c>
      <c r="C5" s="8" t="inlineStr">
        <is>
          <t>Kiểm Thử Thực Địa Trên Thiết Bị Di Động Thực</t>
        </is>
      </c>
      <c r="D5" s="19" t="inlineStr">
        <is>
          <t>Kiểm thử &amp; QA</t>
        </is>
      </c>
      <c r="E5" s="27" t="inlineStr">
        <is>
          <t>P1 - Cao</t>
        </is>
      </c>
      <c r="F5" s="8" t="inlineStr">
        <is>
          <t>Hiện tại hệ thống mới chỉ vượt qua kiểm thử tự động trên môi trường CI Linux / Chrome headless; chưa có đợt thử nghiệm người dùng thực địa (User Testing) với nhiều kích cỡ màn hình và hệ điều hành cũ (Android 10-, iOS 14-).</t>
        </is>
      </c>
      <c r="G5" s="8" t="inlineStr">
        <is>
          <t>Tổ chức đợt thử nghiệm Beta kín với 20-30 người dùng nội bộ, ghi nhận log lỗi UI/UX và crash trên các thiết bị cấu hình thấp.</t>
        </is>
      </c>
      <c r="H5" s="12" t="inlineStr">
        <is>
          <t>Kế hoạch Phase sau</t>
        </is>
      </c>
      <c r="I5" s="10" t="n">
        <v>0.2</v>
      </c>
    </row>
    <row r="6" ht="36" customHeight="1">
      <c r="A6" s="20" t="n">
        <v>2</v>
      </c>
      <c r="B6" s="20" t="inlineStr">
        <is>
          <t>BACKLOG-02</t>
        </is>
      </c>
      <c r="C6" s="21" t="inlineStr">
        <is>
          <t>Độ Chính Xác OCR Trong Điều Kiện Bất Lợi</t>
        </is>
      </c>
      <c r="D6" s="20" t="inlineStr">
        <is>
          <t>Thị giác AI</t>
        </is>
      </c>
      <c r="E6" s="27" t="inlineStr">
        <is>
          <t>P1 - Cao</t>
        </is>
      </c>
      <c r="F6" s="21" t="inlineStr">
        <is>
          <t>Mô hình DateReg YOLO + CTC OCR đạt độ chính xác cao trên ảnh đủ sáng, góc chụp thẳng. Với bao bì nilon bóng gây lóa đèn flash, chữ in mờ nhiệt hoặc bao bì nhăn nheo, OCR có thể đọc thiếu hoặc sai số.</t>
        </is>
      </c>
      <c r="G6" s="21" t="inlineStr">
        <is>
          <t>Bổ sung bước tiền xử lý ảnh (Adaptive Thresholding, De-glare filter) và tích hợp thêm mô hình OCR đa tầng (Multi-engine fallback với Google Cloud Vision API khi độ tin cậy &lt; 60%).</t>
        </is>
      </c>
      <c r="H6" s="12" t="inlineStr">
        <is>
          <t>Đang nghiên cứu</t>
        </is>
      </c>
      <c r="I6" s="22" t="n">
        <v>0.3</v>
      </c>
    </row>
    <row r="7" ht="36" customHeight="1">
      <c r="A7" s="19" t="n">
        <v>3</v>
      </c>
      <c r="B7" s="19" t="inlineStr">
        <is>
          <t>BACKLOG-03</t>
        </is>
      </c>
      <c r="C7" s="8" t="inlineStr">
        <is>
          <t>Hạ Tầng CSDL Production Độc Lập Trên Cloud</t>
        </is>
      </c>
      <c r="D7" s="19" t="inlineStr">
        <is>
          <t>Hạ tầng Cloud</t>
        </is>
      </c>
      <c r="E7" s="28" t="inlineStr">
        <is>
          <t>P2 - Trung bình</t>
        </is>
      </c>
      <c r="F7" s="8" t="inlineStr">
        <is>
          <t>CSDL MySQL hiện chạy trên container nội bộ kết nối qua Cloudflare Tunnel, chưa triển khai cụm Database có tính sẵn sàng cao (High Availability / Multi-AZ) trên Cloud chuyên nghiệp.</t>
        </is>
      </c>
      <c r="G7" s="8" t="inlineStr">
        <is>
          <t>Chuyển đổi và cấu hình sang AWS RDS MySQL hoặc Google Cloud SQL, thiết lập backup tự động hàng ngày (Automated Daily Snapshots) và Read Replicas.</t>
        </is>
      </c>
      <c r="H7" s="12" t="inlineStr">
        <is>
          <t>Kế hoạch Phase sau</t>
        </is>
      </c>
      <c r="I7" s="10" t="n">
        <v>0.25</v>
      </c>
    </row>
    <row r="8" ht="36" customHeight="1">
      <c r="A8" s="20" t="n">
        <v>4</v>
      </c>
      <c r="B8" s="20" t="inlineStr">
        <is>
          <t>BACKLOG-04</t>
        </is>
      </c>
      <c r="C8" s="21" t="inlineStr">
        <is>
          <t>Thông Báo Đẩy Trực Tiếp Trên Di Động (Native Push)</t>
        </is>
      </c>
      <c r="D8" s="20" t="inlineStr">
        <is>
          <t>Tính năng Mở rộng</t>
        </is>
      </c>
      <c r="E8" s="27" t="inlineStr">
        <is>
          <t>P1 - Cao</t>
        </is>
      </c>
      <c r="F8" s="21" t="inlineStr">
        <is>
          <t>Hiện tại cảnh báo hết hạn mới chỉ gửi qua kịch bản Webhook di động (scripts/notify-mobile.mjs), chưa có cơ chế gửi Web Push Notification trực tiếp đến trình duyệt điện thoại khi ứng dụng đang đóng.</t>
        </is>
      </c>
      <c r="G8" s="21" t="inlineStr">
        <is>
          <t>Tích hợp Web Push API với VAPID keys và Service Worker, hoặc tích hợp Firebase Cloud Messaging (FCM) để gửi thông báo nhắc nhở vào 8:00 sáng mỗi ngày.</t>
        </is>
      </c>
      <c r="H8" s="12" t="inlineStr">
        <is>
          <t>Kế hoạch Phase sau</t>
        </is>
      </c>
      <c r="I8" s="22" t="n">
        <v>0.15</v>
      </c>
    </row>
    <row r="9" ht="36" customHeight="1">
      <c r="A9" s="19" t="n">
        <v>5</v>
      </c>
      <c r="B9" s="19" t="inlineStr">
        <is>
          <t>BACKLOG-05</t>
        </is>
      </c>
      <c r="C9" s="8" t="inlineStr">
        <is>
          <t>Bóc Tách OCR Cho Thực Phẩm Nhập Khẩu Đa Ngôn Ngữ</t>
        </is>
      </c>
      <c r="D9" s="19" t="inlineStr">
        <is>
          <t>Thị giác AI</t>
        </is>
      </c>
      <c r="E9" s="28" t="inlineStr">
        <is>
          <t>P3 - Thấp</t>
        </is>
      </c>
      <c r="F9" s="8" t="inlineStr">
        <is>
          <t>Parser ngày tháng mới tối ưu cho tiếng Việt (ngày/tháng/năm, NSX, HSD) và tiếng Anh (EXP, BBD). Chưa hỗ trợ định dạng niên hiệu của Nhật (Reiwa/Heisei), tiếng Hàn hoặc tiếng Trung trên thực phẩm nhập khẩu.</t>
        </is>
      </c>
      <c r="G9" s="8" t="inlineStr">
        <is>
          <t>Mở rộng từ điển date_parser.py để hỗ trợ bóc tách hạn dùng theo định dạng niên lịch Nhật Bản (令/平), ký tự ngày tháng tiếng Trung (年/月/日) và tiếng Hàn (년/월/일).</t>
        </is>
      </c>
      <c r="H9" s="12" t="inlineStr">
        <is>
          <t>Đang nghiên cứu</t>
        </is>
      </c>
      <c r="I9" s="10" t="n">
        <v>0.1</v>
      </c>
    </row>
    <row r="10" ht="36" customHeight="1">
      <c r="A10" s="20" t="n">
        <v>6</v>
      </c>
      <c r="B10" s="20" t="inlineStr">
        <is>
          <t>BACKLOG-06</t>
        </is>
      </c>
      <c r="C10" s="21" t="inlineStr">
        <is>
          <t>Đồng Bộ Dữ Liệu Ngoại Tuyến (Offline-First Sync)</t>
        </is>
      </c>
      <c r="D10" s="20" t="inlineStr">
        <is>
          <t>Frontend / Kiến trúc</t>
        </is>
      </c>
      <c r="E10" s="28" t="inlineStr">
        <is>
          <t>P2 - Trung bình</t>
        </is>
      </c>
      <c r="F10" s="21" t="inlineStr">
        <is>
          <t>Khi ở chế độ Real API, nếu mất mạng, người dùng không thể thực hiện thao tác nhập/xuất kho. Chế độ Demo chạy offline hoàn toàn nhưng không tự động đồng bộ lại vào server khi có mạng.</t>
        </is>
      </c>
      <c r="G10" s="21" t="inlineStr">
        <is>
          <t>Triển khai IndexedDB làm bộ nhớ đệm cục bộ (Client-side cache) và Service Worker Background Sync API để tự động phát lại các mutation khi có kết nối trở lại.</t>
        </is>
      </c>
      <c r="H10" s="12" t="inlineStr">
        <is>
          <t>Hoàn thành (PR #194)</t>
        </is>
      </c>
      <c r="I10" s="22" t="n">
        <v>1</v>
      </c>
    </row>
    <row r="11" ht="36" customHeight="1">
      <c r="A11" s="19" t="n">
        <v>7</v>
      </c>
      <c r="B11" s="19" t="inlineStr">
        <is>
          <t>BACKLOG-07</t>
        </is>
      </c>
      <c r="C11" s="8" t="inlineStr">
        <is>
          <t>Điều Khoản Miễn Trừ Trách Nhiệm An Toàn Thực Phẩm</t>
        </is>
      </c>
      <c r="D11" s="19" t="inlineStr">
        <is>
          <t>Pháp lý &amp; Vận hành</t>
        </is>
      </c>
      <c r="E11" s="28" t="inlineStr">
        <is>
          <t>P2 - Trung bình</t>
        </is>
      </c>
      <c r="F11" s="8" t="inlineStr">
        <is>
          <t>Ứng dụng cung cấp hạn dùng dựa trên thuật toán và dữ liệu người dùng/nhà sản xuất, chưa có điều khoản miễn trừ trách nhiệm pháp lý nếu thực phẩm bị hỏng trước hạn do bảo quản sai cách.</t>
        </is>
      </c>
      <c r="G11" s="8" t="inlineStr">
        <is>
          <t>Bổ sung màn hình Điều khoản Sử dụng (Terms of Service) và Disclaimer rõ ràng: 'Ứng dụng mang tính chất hỗ trợ quản lý; người dùng cần kiểm tra cảm quan thực phẩm trước khi sử dụng'.</t>
        </is>
      </c>
      <c r="H11" s="12" t="inlineStr">
        <is>
          <t>Chưa thực hiện</t>
        </is>
      </c>
      <c r="I11" s="10" t="n">
        <v>0</v>
      </c>
    </row>
    <row r="12" ht="36" customHeight="1">
      <c r="A12" s="20" t="n">
        <v>8</v>
      </c>
      <c r="B12" s="20" t="inlineStr">
        <is>
          <t>BACKLOG-08</t>
        </is>
      </c>
      <c r="C12" s="21" t="inlineStr">
        <is>
          <t>Đồng Bộ Hoàn Toàn 14 Trang Tài Liệu Thiết Kế Figma</t>
        </is>
      </c>
      <c r="D12" s="20" t="inlineStr">
        <is>
          <t>Thiết kế &amp; UI Kit</t>
        </is>
      </c>
      <c r="E12" s="28" t="inlineStr">
        <is>
          <t>P3 - Thấp</t>
        </is>
      </c>
      <c r="F12" s="21" t="inlineStr">
        <is>
          <t>Toàn bộ tokens thiết kế, layout responsive và các UI components từ Figma đã được chuyển đổi thành mã nguồn hoàn chỉnh và kiểm thử tự động tại PR #161 &amp; #163.</t>
        </is>
      </c>
      <c r="G12" s="21" t="inlineStr">
        <is>
          <t>Tiến hành buổi kiểm tra trực quan chéo giữa file Figma và giao diện thực tế của Web, cập nhật lại hash và đóng hoàn toàn các task HCI trên Roadmap.</t>
        </is>
      </c>
      <c r="H12" s="12" t="inlineStr">
        <is>
          <t>Hoàn thành trên Web</t>
        </is>
      </c>
      <c r="I12" s="22" t="n">
        <v>0.9</v>
      </c>
    </row>
    <row r="13">
      <c r="A13" s="14" t="inlineStr">
        <is>
          <t>TỔNG</t>
        </is>
      </c>
      <c r="B13" s="14">
        <f>COUNTA(B5:B12)</f>
        <v/>
      </c>
      <c r="C13" s="23" t="inlineStr">
        <is>
          <t>8 Hạng mục tồn đọng / đề xuất</t>
        </is>
      </c>
      <c r="D13" s="23" t="inlineStr">
        <is>
          <t>Định hướng nâng cấp tương lai</t>
        </is>
      </c>
      <c r="E13" s="23" t="inlineStr">
        <is>
          <t>3 P1 | 3 P2 | 2 P3</t>
        </is>
      </c>
      <c r="F13" s="23" t="inlineStr">
        <is>
          <t>Kế hoạch nghiên cứu và mở rộng sau khi hoàn thành 80 issues cốt lõi</t>
        </is>
      </c>
      <c r="G13" s="24" t="n"/>
      <c r="H13" s="14" t="inlineStr">
        <is>
          <t>8 Tồn đọng</t>
        </is>
      </c>
      <c r="I13" s="16">
        <f>AVERAGE(I5:I12)</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2026-10-24T04:20:28Z</dcterms:created>
  <dcterms:modified xsi:type="dcterms:W3CDTF">2026-10-31T07:22:56Z</dcterms:modified>
</cp:coreProperties>
</file>